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Projection" sheetId="2" state="visible" r:id="rId2"/>
    <sheet name="Retirement inco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£#,##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2" borderId="0" pivotButton="0" quotePrefix="0" xfId="0"/>
    <xf numFmtId="165" fontId="5" fillId="0" borderId="0" pivotButton="0" quotePrefix="0" xfId="0"/>
    <xf numFmtId="165" fontId="4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5" fontId="5" fillId="2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4" fontId="5" fillId="2" borderId="0" pivotButton="0" quotePrefix="0" xfId="0"/>
    <xf numFmtId="0" fontId="7" fillId="3" borderId="1" applyAlignment="1" pivotButton="0" quotePrefix="0" xfId="0">
      <alignment horizontal="center" wrapText="1"/>
    </xf>
    <xf numFmtId="0" fontId="4" fillId="0" borderId="1" pivotButton="0" quotePrefix="0" xfId="0"/>
    <xf numFmtId="165" fontId="8" fillId="0" borderId="1" pivotButton="0" quotePrefix="0" xfId="0"/>
    <xf numFmtId="165" fontId="4" fillId="0" borderId="1" pivotButton="0" quotePrefix="0" xfId="0"/>
    <xf numFmtId="165" fontId="6" fillId="2" borderId="0" pivotButton="0" quotePrefix="0" xfId="0"/>
    <xf numFmtId="0" fontId="7" fillId="3" borderId="1" applyAlignment="1" pivotButton="0" quotePrefix="0" xfId="0">
      <alignment horizontal="center"/>
    </xf>
    <xf numFmtId="164" fontId="8" fillId="0" borderId="1" pivotButton="0" quotePrefix="0" xfId="0"/>
    <xf numFmtId="0" fontId="6" fillId="0" borderId="1" pivotButton="0" quotePrefix="0" xfId="0"/>
    <xf numFmtId="165" fontId="6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0" customWidth="1" min="3" max="3"/>
  </cols>
  <sheetData>
    <row r="1">
      <c r="A1" s="1" t="inlineStr">
        <is>
          <t>Janey's Pension Plan — Inputs &amp; Assumptions</t>
        </is>
      </c>
    </row>
    <row r="2">
      <c r="A2" s="2" t="inlineStr">
        <is>
          <t>Blue = you can edit.  Yellow = confirm the real figure (see notes).  Black = calculated — don't overwrite.</t>
        </is>
      </c>
    </row>
    <row r="4">
      <c r="A4" s="3" t="inlineStr">
        <is>
          <t>Personal details</t>
        </is>
      </c>
    </row>
    <row r="5">
      <c r="A5" s="4" t="inlineStr">
        <is>
          <t>Current age</t>
        </is>
      </c>
      <c r="B5" s="5" t="n">
        <v>53</v>
      </c>
      <c r="C5" s="2" t="inlineStr">
        <is>
          <t>Janey, as at 2026.</t>
        </is>
      </c>
    </row>
    <row r="6">
      <c r="A6" s="4" t="inlineStr">
        <is>
          <t>Target retirement age</t>
        </is>
      </c>
      <c r="B6" s="5" t="n">
        <v>65</v>
      </c>
    </row>
    <row r="7">
      <c r="A7" s="4" t="inlineStr">
        <is>
          <t>State Pension age</t>
        </is>
      </c>
      <c r="B7" s="6" t="n">
        <v>67</v>
      </c>
      <c r="C7" s="2" t="inlineStr">
        <is>
          <t>Born ~1972–73 → State Pension age is 67, not 65. Confirm at gov.uk/state-pension-age.</t>
        </is>
      </c>
    </row>
    <row r="8">
      <c r="A8" s="4" t="inlineStr">
        <is>
          <t>Years of contributions (to retirement)</t>
        </is>
      </c>
      <c r="B8" s="4">
        <f>B6-B5</f>
        <v>12</v>
      </c>
    </row>
    <row r="9">
      <c r="A9" s="4" t="inlineStr">
        <is>
          <t>Income-bridge years (retire → State Pension)</t>
        </is>
      </c>
      <c r="B9" s="4">
        <f>B7-B6</f>
        <v>2</v>
      </c>
      <c r="C9" s="2" t="inlineStr">
        <is>
          <t>Years living on private pension before the State Pension starts.</t>
        </is>
      </c>
    </row>
    <row r="11">
      <c r="A11" s="3" t="inlineStr">
        <is>
          <t>Contributions (personal pension / SIPP)</t>
        </is>
      </c>
    </row>
    <row r="12">
      <c r="A12" s="4" t="inlineStr">
        <is>
          <t>Net amount Janey pays in per year (£)</t>
        </is>
      </c>
      <c r="B12" s="7" t="n">
        <v>2880</v>
      </c>
      <c r="C12" s="2" t="inlineStr">
        <is>
          <t>Non-earner maximum: £2,880 net/year. Tax relief is added even with no earned income.</t>
        </is>
      </c>
    </row>
    <row r="13">
      <c r="A13" s="4" t="inlineStr">
        <is>
          <t>Basic-rate tax relief added (£)</t>
        </is>
      </c>
      <c r="B13" s="8">
        <f>B12*0.25</f>
        <v>720</v>
      </c>
      <c r="C13" s="2" t="inlineStr">
        <is>
          <t>20% relief = net ÷ 0.8 − net = net × 0.25 → £720 on £2,880.</t>
        </is>
      </c>
    </row>
    <row r="14">
      <c r="A14" s="9" t="inlineStr">
        <is>
          <t>Gross annual contribution (£)</t>
        </is>
      </c>
      <c r="B14" s="10">
        <f>B12+B13</f>
        <v>3600</v>
      </c>
      <c r="C14" s="2" t="inlineStr">
        <is>
          <t>This is what actually lands in the pension each year (£3,600).</t>
        </is>
      </c>
    </row>
    <row r="15">
      <c r="A15" s="4" t="inlineStr">
        <is>
          <t>Existing pension pot value today (£)</t>
        </is>
      </c>
      <c r="B15" s="11" t="n">
        <v>0</v>
      </c>
      <c r="C15" s="2" t="inlineStr">
        <is>
          <t>Unknown — set to £0 for now. NOTE: the 1998–2002 school pension is a separate DEFINED-BENEFIT pension (income, not a pot) — see below.</t>
        </is>
      </c>
    </row>
    <row r="17">
      <c r="A17" s="3" t="inlineStr">
        <is>
          <t>Investment assumptions</t>
        </is>
      </c>
    </row>
    <row r="18">
      <c r="A18" s="4" t="inlineStr">
        <is>
          <t>Growth — cautious</t>
        </is>
      </c>
      <c r="B18" s="12" t="n">
        <v>0.03</v>
      </c>
    </row>
    <row r="19">
      <c r="A19" s="4" t="inlineStr">
        <is>
          <t>Growth — central (medium risk)</t>
        </is>
      </c>
      <c r="B19" s="12" t="n">
        <v>0.05</v>
      </c>
      <c r="C19" s="2" t="inlineStr">
        <is>
          <t>Medium risk appetite → 5% nominal central assumption.</t>
        </is>
      </c>
    </row>
    <row r="20">
      <c r="A20" s="4" t="inlineStr">
        <is>
          <t>Growth — optimistic</t>
        </is>
      </c>
      <c r="B20" s="12" t="n">
        <v>0.07000000000000001</v>
      </c>
    </row>
    <row r="21">
      <c r="A21" s="4" t="inlineStr">
        <is>
          <t>Annual charges (platform + fund)</t>
        </is>
      </c>
      <c r="B21" s="12" t="n">
        <v>0.005</v>
      </c>
      <c r="C21" s="2" t="inlineStr">
        <is>
          <t>Keep this low — 0.5% vs 1.5% makes a big difference. Set to Janey's actual charges.</t>
        </is>
      </c>
    </row>
    <row r="22">
      <c r="A22" s="4" t="inlineStr">
        <is>
          <t>Net growth — cautious</t>
        </is>
      </c>
      <c r="B22" s="13">
        <f>B18-B21</f>
        <v>0.025</v>
      </c>
    </row>
    <row r="23">
      <c r="A23" s="4" t="inlineStr">
        <is>
          <t>Net growth — central</t>
        </is>
      </c>
      <c r="B23" s="13">
        <f>B19-B21</f>
        <v>0.045</v>
      </c>
    </row>
    <row r="24">
      <c r="A24" s="4" t="inlineStr">
        <is>
          <t>Net growth — optimistic</t>
        </is>
      </c>
      <c r="B24" s="13">
        <f>B20-B21</f>
        <v>0.065</v>
      </c>
    </row>
    <row r="25">
      <c r="A25" s="4" t="inlineStr">
        <is>
          <t>Inflation (for today's-money view)</t>
        </is>
      </c>
      <c r="B25" s="12" t="n">
        <v>0.025</v>
      </c>
    </row>
    <row r="26">
      <c r="A26" s="4" t="inlineStr">
        <is>
          <t>Sustainable withdrawal rate</t>
        </is>
      </c>
      <c r="B26" s="12" t="n">
        <v>0.04</v>
      </c>
      <c r="C26" s="2" t="inlineStr">
        <is>
          <t>Rule-of-thumb sustainable drawdown from the pot each year (~4%).</t>
        </is>
      </c>
    </row>
    <row r="28">
      <c r="A28" s="3" t="inlineStr">
        <is>
          <t>Other retirement income (annual, today's money)</t>
        </is>
      </c>
    </row>
    <row r="29">
      <c r="A29" s="4" t="inlineStr">
        <is>
          <t>Full new State Pension per year (£)</t>
        </is>
      </c>
      <c r="B29" s="11" t="n">
        <v>11973</v>
      </c>
      <c r="C29" s="2" t="inlineStr">
        <is>
          <t>2025/26 full rate ≈ £11,973. Verify current figure at gov.uk.</t>
        </is>
      </c>
    </row>
    <row r="30">
      <c r="A30" s="4" t="inlineStr">
        <is>
          <t>% of full State Pension Janey will qualify for</t>
        </is>
      </c>
      <c r="B30" s="14" t="n">
        <v>1</v>
      </c>
      <c r="C30" s="2" t="inlineStr">
        <is>
          <t>UNKNOWN — get a forecast at gov.uk/check-state-pension. As a homemaker there may be NI gaps; filling them is often the best-value action of all.</t>
        </is>
      </c>
    </row>
    <row r="31">
      <c r="A31" s="9" t="inlineStr">
        <is>
          <t>Janey's State Pension per year (£)</t>
        </is>
      </c>
      <c r="B31" s="10">
        <f>B29*B30</f>
        <v>11973</v>
      </c>
    </row>
    <row r="32">
      <c r="A32" s="4" t="inlineStr">
        <is>
          <t>Deferred DB (school) pension per year (£)</t>
        </is>
      </c>
      <c r="B32" s="11" t="n">
        <v>0</v>
      </c>
      <c r="C32" s="2" t="inlineStr">
        <is>
          <t>TO TRACE — Teachers' Pension Scheme or LGPS, ~1998–2002. Small but guaranteed &amp; inflation-linked. Request a deferred-benefit statement.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20" customWidth="1" min="4" max="4"/>
    <col width="16" customWidth="1" min="5" max="5"/>
    <col width="18" customWidth="1" min="6" max="6"/>
  </cols>
  <sheetData>
    <row r="1">
      <c r="A1" s="1" t="inlineStr">
        <is>
          <t>Year-by-year projection — central case (net growth from Inputs)</t>
        </is>
      </c>
    </row>
    <row r="2">
      <c r="A2" s="2" t="inlineStr">
        <is>
          <t>Contributions assumed paid at the start of each year. Change any input on the Inputs tab and this recalculates.</t>
        </is>
      </c>
    </row>
    <row r="4">
      <c r="A4" s="15" t="inlineStr">
        <is>
          <t>Year</t>
        </is>
      </c>
      <c r="B4" s="15" t="inlineStr">
        <is>
          <t>Age</t>
        </is>
      </c>
      <c r="C4" s="15" t="inlineStr">
        <is>
          <t>Opening balance</t>
        </is>
      </c>
      <c r="D4" s="15" t="inlineStr">
        <is>
          <t>Contribution (gross)</t>
        </is>
      </c>
      <c r="E4" s="15" t="inlineStr">
        <is>
          <t>Growth</t>
        </is>
      </c>
      <c r="F4" s="15" t="inlineStr">
        <is>
          <t>Closing balance</t>
        </is>
      </c>
    </row>
    <row r="5">
      <c r="A5" s="16" t="n">
        <v>1</v>
      </c>
      <c r="B5" s="16">
        <f>Inputs!B5+1</f>
        <v>54</v>
      </c>
      <c r="C5" s="17">
        <f>Inputs!B15</f>
        <v>0</v>
      </c>
      <c r="D5" s="17">
        <f>Inputs!B14</f>
        <v>3600</v>
      </c>
      <c r="E5" s="18">
        <f>(C5+D5)*Inputs!B23</f>
        <v>162</v>
      </c>
      <c r="F5" s="18">
        <f>C5+D5+E5</f>
        <v>3762</v>
      </c>
    </row>
    <row r="6">
      <c r="A6" s="16" t="n">
        <v>2</v>
      </c>
      <c r="B6" s="16">
        <f>B5+1</f>
        <v>55</v>
      </c>
      <c r="C6" s="18">
        <f>F5</f>
        <v>3762</v>
      </c>
      <c r="D6" s="17">
        <f>Inputs!B14</f>
        <v>3600</v>
      </c>
      <c r="E6" s="18">
        <f>(C6+D6)*Inputs!B23</f>
        <v>331.29</v>
      </c>
      <c r="F6" s="18">
        <f>C6+D6+E6</f>
        <v>7693.29</v>
      </c>
    </row>
    <row r="7">
      <c r="A7" s="16" t="n">
        <v>3</v>
      </c>
      <c r="B7" s="16">
        <f>B6+1</f>
        <v>56</v>
      </c>
      <c r="C7" s="18">
        <f>F6</f>
        <v>7693.29</v>
      </c>
      <c r="D7" s="17">
        <f>Inputs!B14</f>
        <v>3600</v>
      </c>
      <c r="E7" s="18">
        <f>(C7+D7)*Inputs!B23</f>
        <v>508.19805</v>
      </c>
      <c r="F7" s="18">
        <f>C7+D7+E7</f>
        <v>11801.48805</v>
      </c>
    </row>
    <row r="8">
      <c r="A8" s="16" t="n">
        <v>4</v>
      </c>
      <c r="B8" s="16">
        <f>B7+1</f>
        <v>57</v>
      </c>
      <c r="C8" s="18">
        <f>F7</f>
        <v>11801.48805</v>
      </c>
      <c r="D8" s="17">
        <f>Inputs!B14</f>
        <v>3600</v>
      </c>
      <c r="E8" s="18">
        <f>(C8+D8)*Inputs!B23</f>
        <v>693.066962</v>
      </c>
      <c r="F8" s="18">
        <f>C8+D8+E8</f>
        <v>16094.555012</v>
      </c>
    </row>
    <row r="9">
      <c r="A9" s="16" t="n">
        <v>5</v>
      </c>
      <c r="B9" s="16">
        <f>B8+1</f>
        <v>58</v>
      </c>
      <c r="C9" s="18">
        <f>F8</f>
        <v>16094.555012</v>
      </c>
      <c r="D9" s="17">
        <f>Inputs!B14</f>
        <v>3600</v>
      </c>
      <c r="E9" s="18">
        <f>(C9+D9)*Inputs!B23</f>
        <v>886.254976</v>
      </c>
      <c r="F9" s="18">
        <f>C9+D9+E9</f>
        <v>20580.809988</v>
      </c>
    </row>
    <row r="10">
      <c r="A10" s="16" t="n">
        <v>6</v>
      </c>
      <c r="B10" s="16">
        <f>B9+1</f>
        <v>59</v>
      </c>
      <c r="C10" s="18">
        <f>F9</f>
        <v>20580.809988</v>
      </c>
      <c r="D10" s="17">
        <f>Inputs!B14</f>
        <v>3600</v>
      </c>
      <c r="E10" s="18">
        <f>(C10+D10)*Inputs!B23</f>
        <v>1088.136449</v>
      </c>
      <c r="F10" s="18">
        <f>C10+D10+E10</f>
        <v>25268.946437</v>
      </c>
    </row>
    <row r="11">
      <c r="A11" s="16" t="n">
        <v>7</v>
      </c>
      <c r="B11" s="16">
        <f>B10+1</f>
        <v>60</v>
      </c>
      <c r="C11" s="18">
        <f>F10</f>
        <v>25268.946437</v>
      </c>
      <c r="D11" s="17">
        <f>Inputs!B14</f>
        <v>3600</v>
      </c>
      <c r="E11" s="18">
        <f>(C11+D11)*Inputs!B23</f>
        <v>1299.10259</v>
      </c>
      <c r="F11" s="18">
        <f>C11+D11+E11</f>
        <v>30168.049027</v>
      </c>
    </row>
    <row r="12">
      <c r="A12" s="16" t="n">
        <v>8</v>
      </c>
      <c r="B12" s="16">
        <f>B11+1</f>
        <v>61</v>
      </c>
      <c r="C12" s="18">
        <f>F11</f>
        <v>30168.049027</v>
      </c>
      <c r="D12" s="17">
        <f>Inputs!B14</f>
        <v>3600</v>
      </c>
      <c r="E12" s="18">
        <f>(C12+D12)*Inputs!B23</f>
        <v>1519.562206</v>
      </c>
      <c r="F12" s="18">
        <f>C12+D12+E12</f>
        <v>35287.611233</v>
      </c>
    </row>
    <row r="13">
      <c r="A13" s="16" t="n">
        <v>9</v>
      </c>
      <c r="B13" s="16">
        <f>B12+1</f>
        <v>62</v>
      </c>
      <c r="C13" s="18">
        <f>F12</f>
        <v>35287.611233</v>
      </c>
      <c r="D13" s="17">
        <f>Inputs!B14</f>
        <v>3600</v>
      </c>
      <c r="E13" s="18">
        <f>(C13+D13)*Inputs!B23</f>
        <v>1749.942505</v>
      </c>
      <c r="F13" s="18">
        <f>C13+D13+E13</f>
        <v>40637.553739</v>
      </c>
    </row>
    <row r="14">
      <c r="A14" s="16" t="n">
        <v>10</v>
      </c>
      <c r="B14" s="16">
        <f>B13+1</f>
        <v>63</v>
      </c>
      <c r="C14" s="18">
        <f>F13</f>
        <v>40637.553739</v>
      </c>
      <c r="D14" s="17">
        <f>Inputs!B14</f>
        <v>3600</v>
      </c>
      <c r="E14" s="18">
        <f>(C14+D14)*Inputs!B23</f>
        <v>1990.689918</v>
      </c>
      <c r="F14" s="18">
        <f>C14+D14+E14</f>
        <v>46228.243657</v>
      </c>
    </row>
    <row r="15">
      <c r="A15" s="16" t="n">
        <v>11</v>
      </c>
      <c r="B15" s="16">
        <f>B14+1</f>
        <v>64</v>
      </c>
      <c r="C15" s="18">
        <f>F14</f>
        <v>46228.243657</v>
      </c>
      <c r="D15" s="17">
        <f>Inputs!B14</f>
        <v>3600</v>
      </c>
      <c r="E15" s="18">
        <f>(C15+D15)*Inputs!B23</f>
        <v>2242.270965</v>
      </c>
      <c r="F15" s="18">
        <f>C15+D15+E15</f>
        <v>52070.514621</v>
      </c>
    </row>
    <row r="16">
      <c r="A16" s="16" t="n">
        <v>12</v>
      </c>
      <c r="B16" s="16">
        <f>B15+1</f>
        <v>65</v>
      </c>
      <c r="C16" s="18">
        <f>F15</f>
        <v>52070.514621</v>
      </c>
      <c r="D16" s="17">
        <f>Inputs!B14</f>
        <v>3600</v>
      </c>
      <c r="E16" s="18">
        <f>(C16+D16)*Inputs!B23</f>
        <v>2505.173158</v>
      </c>
      <c r="F16" s="18">
        <f>C16+D16+E16</f>
        <v>58175.687779</v>
      </c>
    </row>
    <row r="18">
      <c r="A18" s="3" t="inlineStr">
        <is>
          <t>Totals</t>
        </is>
      </c>
    </row>
    <row r="19">
      <c r="A19" s="4" t="inlineStr">
        <is>
          <t>Total gross contributed</t>
        </is>
      </c>
      <c r="F19" s="10">
        <f>SUM(D5:D16)</f>
        <v>43200</v>
      </c>
    </row>
    <row r="20">
      <c r="A20" s="4" t="inlineStr">
        <is>
          <t>Total investment growth</t>
        </is>
      </c>
      <c r="F20" s="10">
        <f>SUM(E5:E16)</f>
        <v>14975.687779</v>
      </c>
    </row>
    <row r="21">
      <c r="A21" s="9" t="inlineStr">
        <is>
          <t>Pot at retirement (age 65)</t>
        </is>
      </c>
      <c r="F21" s="19">
        <f>F16</f>
        <v>58175.687779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Retirement income — scenarios &amp; summary</t>
        </is>
      </c>
    </row>
    <row r="2">
      <c r="A2" s="2" t="inlineStr">
        <is>
          <t>Pots use FV of £3,600/yr for 12 years at each net growth rate. Income figures are illustrative, not guaranteed.</t>
        </is>
      </c>
    </row>
    <row r="4">
      <c r="A4" s="3" t="inlineStr">
        <is>
          <t>1) Pot at retirement (age 65)</t>
        </is>
      </c>
    </row>
    <row r="5">
      <c r="A5" s="20" t="inlineStr">
        <is>
          <t>Scenario</t>
        </is>
      </c>
      <c r="B5" s="20" t="inlineStr">
        <is>
          <t>Net growth</t>
        </is>
      </c>
      <c r="C5" s="20" t="inlineStr">
        <is>
          <t>Pot at 65</t>
        </is>
      </c>
    </row>
    <row r="6">
      <c r="A6" s="16" t="inlineStr">
        <is>
          <t>Cautious</t>
        </is>
      </c>
      <c r="B6" s="21">
        <f>Inputs!B22</f>
        <v>0.025</v>
      </c>
      <c r="C6" s="18">
        <f>FV(Inputs!B22,Inputs!B8,-Inputs!B14,-Inputs!B15,1)</f>
        <v>50905.590459</v>
      </c>
    </row>
    <row r="7">
      <c r="A7" s="16" t="inlineStr">
        <is>
          <t>Central</t>
        </is>
      </c>
      <c r="B7" s="21">
        <f>Inputs!B23</f>
        <v>0.045</v>
      </c>
      <c r="C7" s="18">
        <f>FV(Inputs!B23,Inputs!B8,-Inputs!B14,-Inputs!B15,1)</f>
        <v>58175.687779</v>
      </c>
    </row>
    <row r="8">
      <c r="A8" s="16" t="inlineStr">
        <is>
          <t>Optimistic</t>
        </is>
      </c>
      <c r="B8" s="21">
        <f>Inputs!B24</f>
        <v>0.065</v>
      </c>
      <c r="C8" s="18">
        <f>FV(Inputs!B24,Inputs!B8,-Inputs!B14,-Inputs!B15,1)</f>
        <v>66599.30754</v>
      </c>
    </row>
    <row r="10">
      <c r="A10" s="3" t="inlineStr">
        <is>
          <t>2) Turning the CENTRAL pot into income</t>
        </is>
      </c>
    </row>
    <row r="12">
      <c r="A12" s="4" t="inlineStr">
        <is>
          <t>Central pot at 65</t>
        </is>
      </c>
      <c r="B12" s="10">
        <f>C7</f>
        <v>58175.687779</v>
      </c>
    </row>
    <row r="13">
      <c r="A13" s="4" t="inlineStr">
        <is>
          <t>Tax-free cash (25%)</t>
        </is>
      </c>
      <c r="B13" s="8">
        <f>B12*0.25</f>
        <v>14543.921945</v>
      </c>
      <c r="C13" s="2" t="inlineStr">
        <is>
          <t>Available from age 65.</t>
        </is>
      </c>
    </row>
    <row r="14">
      <c r="A14" s="4" t="inlineStr">
        <is>
          <t>Sustainable drawdown income / yr</t>
        </is>
      </c>
      <c r="B14" s="8">
        <f>B12*Inputs!B26</f>
        <v>2327.027511</v>
      </c>
      <c r="C14" s="2" t="inlineStr">
        <is>
          <t>~4% of the pot per year (illustrative, not guaranteed).</t>
        </is>
      </c>
    </row>
    <row r="15">
      <c r="A15" s="4" t="inlineStr">
        <is>
          <t>Annuity income / yr (rough)</t>
        </is>
      </c>
      <c r="B15" s="8">
        <f>B12*0.06</f>
        <v>3490.541267</v>
      </c>
      <c r="C15" s="2" t="inlineStr">
        <is>
          <t>Very rough at ~6% single-life level rate; real quotes vary with age/health/rates.</t>
        </is>
      </c>
    </row>
    <row r="17">
      <c r="A17" s="3" t="inlineStr">
        <is>
          <t>3) Total annual income (using drawdown + DB + State Pension)</t>
        </is>
      </c>
    </row>
    <row r="18">
      <c r="A18" s="15" t="inlineStr">
        <is>
          <t>Component</t>
        </is>
      </c>
      <c r="B18" s="15" t="inlineStr">
        <is>
          <t>Age 65–66 (bridge)</t>
        </is>
      </c>
      <c r="C18" s="15" t="inlineStr">
        <is>
          <t>Age 67+ (with SP)</t>
        </is>
      </c>
    </row>
    <row r="19">
      <c r="A19" s="16" t="inlineStr">
        <is>
          <t>Private pension (drawdown)</t>
        </is>
      </c>
      <c r="B19" s="18">
        <f>B14</f>
        <v>2327.027511</v>
      </c>
      <c r="C19" s="18">
        <f>B14</f>
        <v>2327.027511</v>
      </c>
    </row>
    <row r="20">
      <c r="A20" s="16" t="inlineStr">
        <is>
          <t>Deferred DB (school) pension</t>
        </is>
      </c>
      <c r="B20" s="17">
        <f>Inputs!B32</f>
        <v>0</v>
      </c>
      <c r="C20" s="17">
        <f>Inputs!B32</f>
        <v>0</v>
      </c>
    </row>
    <row r="21">
      <c r="A21" s="16" t="inlineStr">
        <is>
          <t>State Pension</t>
        </is>
      </c>
      <c r="B21" s="18" t="n">
        <v>0</v>
      </c>
      <c r="C21" s="17">
        <f>Inputs!B31</f>
        <v>11973</v>
      </c>
    </row>
    <row r="22">
      <c r="A22" s="22" t="inlineStr">
        <is>
          <t>Total annual income</t>
        </is>
      </c>
      <c r="B22" s="23">
        <f>SUM(B19:B21)</f>
        <v>2327.027511</v>
      </c>
      <c r="C22" s="23">
        <f>SUM(C19:C21)</f>
        <v>14300.027511</v>
      </c>
    </row>
    <row r="24">
      <c r="A24" s="2" t="inlineStr">
        <is>
          <t>Note: pot figures are in FUTURE money. In today's money, divide by (1+inflation)^12 ≈ divide by 1.34 at 2.5% inflation. State Pension &amp; DB above are already in today's money.</t>
        </is>
      </c>
    </row>
    <row r="26">
      <c r="A26" s="3" t="inlineStr">
        <is>
          <t>Highest-leverage actions (not just the £3,600/yr):</t>
        </is>
      </c>
    </row>
    <row r="27">
      <c r="A27" s="4" t="inlineStr">
        <is>
          <t>1. Get Janey's State Pension forecast (gov.uk/check-state-pension) — fill NI gaps if any.</t>
        </is>
      </c>
    </row>
    <row r="28">
      <c r="A28" s="4" t="inlineStr">
        <is>
          <t>2. Trace the 1998–2002 school DB pension and get a deferred statement.</t>
        </is>
      </c>
    </row>
    <row r="29">
      <c r="A29" s="4" t="inlineStr">
        <is>
          <t>3. Plan the 65→67 income bridge (private pension / husband's income / savings).</t>
        </is>
      </c>
    </row>
    <row r="30">
      <c r="A30" s="4" t="inlineStr">
        <is>
          <t>4. Consider whether the husband can contribute more, or use ISAs, for the household.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2026-09-19T08:26:53Z</dcterms:created>
  <dcterms:modified xsi:type="dcterms:W3CDTF">2026-09-19T08:26:53Z</dcterms:modified>
</cp:coreProperties>
</file>