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  <sheet name="Househol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"/>
    <numFmt numFmtId="166" formatCode="£#,##0;(£#,##0)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  <xf numFmtId="165" fontId="5" fillId="2" borderId="1" pivotButton="0" quotePrefix="0" xfId="0"/>
    <xf numFmtId="166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Janey's Teachers' Pension per year (£)</t>
        </is>
      </c>
      <c r="B32" s="7" t="n">
        <v>6981.65</v>
      </c>
      <c r="C32" s="2" t="inlineStr">
        <is>
          <t>Teachers' Pension (deferred, 19 Sep 2026): £6,981.65 from the 80th Final Salary section, payable UNREDUCED from age 60. Index-linked. See the detail block below.</t>
        </is>
      </c>
    </row>
    <row r="34">
      <c r="A34" s="3" t="inlineStr">
        <is>
          <t>Michael (for the household view)</t>
        </is>
      </c>
    </row>
    <row r="35">
      <c r="A35" s="4" t="inlineStr">
        <is>
          <t>Michael's current age</t>
        </is>
      </c>
      <c r="B35" s="6" t="n">
        <v>57</v>
      </c>
      <c r="C35" s="2" t="inlineStr">
        <is>
          <t>From DOB 02/07/1969 (Aegon transfer authority) → age 57 in 2026.</t>
        </is>
      </c>
    </row>
    <row r="36">
      <c r="A36" s="4" t="inlineStr">
        <is>
          <t>Michael's target retirement age</t>
        </is>
      </c>
      <c r="B36" s="6" t="n">
        <v>65</v>
      </c>
      <c r="C36" s="2" t="inlineStr">
        <is>
          <t>Assumed 65 to match Janey — change to Michael's actual plan.</t>
        </is>
      </c>
    </row>
    <row r="37">
      <c r="A37" s="4" t="inlineStr">
        <is>
          <t>Michael's years of contributions (to retirement)</t>
        </is>
      </c>
      <c r="B37" s="4">
        <f>B36-B35</f>
        <v>8</v>
      </c>
    </row>
    <row r="38">
      <c r="A38" s="4" t="inlineStr">
        <is>
          <t>Michael's State Pension per week (£)</t>
        </is>
      </c>
      <c r="B38" s="7" t="n">
        <v>241</v>
      </c>
      <c r="C38" s="2" t="inlineStr">
        <is>
          <t>From Michael's forecast: £241/week starting Nov 2039.</t>
        </is>
      </c>
    </row>
    <row r="39">
      <c r="A39" s="9" t="inlineStr">
        <is>
          <t>Michael's State Pension per year (£)</t>
        </is>
      </c>
      <c r="B39" s="10">
        <f>B38*52</f>
        <v>12532</v>
      </c>
      <c r="C39" s="2" t="inlineStr">
        <is>
          <t>£241 × 52. Assumed to start Nov 2039 (per instruction). NOTE: a 1969 DOB would normally mean a State Pension age ~2036–37, so confirm this date at gov.uk/check-state-pension.</t>
        </is>
      </c>
    </row>
    <row r="40">
      <c r="A40" s="4" t="inlineStr">
        <is>
          <t>Michael's existing pension pot today (£)</t>
        </is>
      </c>
      <c r="B40" s="7" t="n">
        <v>221974.07</v>
      </c>
      <c r="C40" s="2" t="inlineStr">
        <is>
          <t>Aegon SIPP — £221,974.07 consolidated from Scottish Equitable (transfer authority, Jun 2024). Excludes his newer NEST pot (current employer) — value unknown, add when known.</t>
        </is>
      </c>
    </row>
    <row r="41">
      <c r="A41" s="4" t="inlineStr">
        <is>
          <t>Michael's gross annual contribution (£)</t>
        </is>
      </c>
      <c r="B41" s="7" t="n">
        <v>32490</v>
      </c>
      <c r="C41" s="2" t="inlineStr">
        <is>
          <t>£2,707.50/mo employer pension × 12 (19% of £171k salary; includes his 10% salary sacrifice). If the £1,425/mo sacrifice is ON TOP, use £49,590. Well within the £60k Annual Allowance.</t>
        </is>
      </c>
    </row>
    <row r="42">
      <c r="A42" s="9" t="inlineStr">
        <is>
          <t>Michael's pot at retirement (£)</t>
        </is>
      </c>
      <c r="B42" s="10">
        <f>FV(B23,B37,-B41,-B40,1)</f>
        <v>634140.15236</v>
      </c>
      <c r="C42" s="2" t="inlineStr">
        <is>
          <t>Grown at the central net rate. Uses the shared growth/charge assumptions above.</t>
        </is>
      </c>
    </row>
    <row r="43">
      <c r="A43" s="4" t="inlineStr">
        <is>
          <t>Michael's drawdown income / yr (£)</t>
        </is>
      </c>
      <c r="B43" s="8">
        <f>B42*B26</f>
        <v>25365.606094</v>
      </c>
      <c r="C43" s="2" t="inlineStr">
        <is>
          <t>~4% of his pot per year.</t>
        </is>
      </c>
    </row>
    <row r="45">
      <c r="A45" s="3" t="inlineStr">
        <is>
          <t>Janey's Teachers' Pension — detail (deferred, 19 Sep 2026)</t>
        </is>
      </c>
    </row>
    <row r="46">
      <c r="A46" s="4" t="inlineStr">
        <is>
          <t>80th Final Salary pension — NPA 60 (from Nov 2032)</t>
        </is>
      </c>
      <c r="B46" s="8" t="n">
        <v>6981.65</v>
      </c>
      <c r="C46" s="2" t="inlineStr">
        <is>
          <t>Payable UNREDUCED from age 60. Index-linked.</t>
        </is>
      </c>
    </row>
    <row r="47">
      <c r="A47" s="4" t="inlineStr">
        <is>
          <t>Automatic tax-free lump sum (with the 80th pension)</t>
        </is>
      </c>
      <c r="B47" s="8" t="n">
        <v>20944.98</v>
      </c>
      <c r="C47" s="2" t="inlineStr">
        <is>
          <t>One-off, tax-free, from age 60. 3× the pension.</t>
        </is>
      </c>
    </row>
    <row r="48">
      <c r="A48" s="4" t="inlineStr">
        <is>
          <t>Career Average pension — NPA 67 (from Nov 2039)</t>
        </is>
      </c>
      <c r="B48" s="8" t="n">
        <v>103.48</v>
      </c>
      <c r="C48" s="2" t="inlineStr">
        <is>
          <t>Small; starts at 67.</t>
        </is>
      </c>
    </row>
    <row r="49">
      <c r="A49" s="4" t="inlineStr">
        <is>
          <t>Total annual Teachers' Pension from age 67</t>
        </is>
      </c>
      <c r="B49" s="8" t="n">
        <v>7085.13</v>
      </c>
      <c r="C49" s="2" t="inlineStr">
        <is>
          <t>£6,981.65 + £103.48. Both index-linked.</t>
        </is>
      </c>
    </row>
    <row r="50">
      <c r="A50" s="2" t="inlineStr">
        <is>
          <t>Service: 8 yr 288 days · Avg salary ~£39,723 · figures grow with inflation to retirement.</t>
        </is>
      </c>
    </row>
    <row r="52">
      <c r="A52" s="3" t="inlineStr">
        <is>
          <t>Michael's RAF pension (AFPS 75) — estimate</t>
        </is>
      </c>
    </row>
    <row r="53">
      <c r="A53" s="4" t="inlineStr">
        <is>
          <t>AFPS 75 preserved pension per year (£)</t>
        </is>
      </c>
      <c r="B53" s="11" t="n">
        <v>5340</v>
      </c>
      <c r="C53" s="2" t="inlineStr">
        <is>
          <t>ESTIMATE — RAF 1990–98 (8 yrs), Sgt. ~8/22 of a Sgt's 22-yr pension (~£14,684) ≈ £5,340. Aircrew rates were higher, so likely more. GET AN OFFICIAL FORECAST from Veterans UK / DBS.</t>
        </is>
      </c>
    </row>
    <row r="54">
      <c r="A54" s="4" t="inlineStr">
        <is>
          <t>AFPS 75 tax-free lump sum (£)</t>
        </is>
      </c>
      <c r="B54" s="11" t="n">
        <v>16020</v>
      </c>
      <c r="C54" s="2" t="inlineStr">
        <is>
          <t>≈ 3 × the annual pension, tax-free. Payable with the pension from AGE 60. Index-linked (CPI).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6981.65</v>
      </c>
      <c r="C20" s="17">
        <f>Inputs!B32</f>
        <v>6981.65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9308.677511</v>
      </c>
      <c r="C22" s="23">
        <f>SUM(C19:C21)</f>
        <v>21281.677511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Teachers' Pension is confirmed: £6,982/yr + £20,945 tax-free lump sum from AGE 60 — this covers the pre-State-Pension years well.</t>
        </is>
      </c>
    </row>
    <row r="29">
      <c r="A29" s="4" t="inlineStr">
        <is>
          <t>3. Decide when to take the Teachers' 80th pension (age 60 unreduced) vs. the personal pot vs. State Pension at 67.</t>
        </is>
      </c>
    </row>
    <row r="30">
      <c r="A30" s="4" t="inlineStr">
        <is>
          <t>4. Consider whether Michael can contribute more, or use ISAs, for the household.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Household retirement income — Janey + Michael</t>
        </is>
      </c>
    </row>
    <row r="2">
      <c r="A2" s="2" t="inlineStr">
        <is>
          <t>Steady state: both retired and both State Pensions in payment (from ~2039–2040). Fill Michael's pot &amp; contributions on the Inputs tab to complete his private pension.</t>
        </is>
      </c>
    </row>
    <row r="4">
      <c r="A4" s="3" t="inlineStr">
        <is>
          <t>Annual income (steady state)</t>
        </is>
      </c>
    </row>
    <row r="5">
      <c r="A5" s="20" t="inlineStr">
        <is>
          <t>Component</t>
        </is>
      </c>
      <c r="B5" s="20" t="inlineStr">
        <is>
          <t>Janey</t>
        </is>
      </c>
      <c r="C5" s="20" t="inlineStr">
        <is>
          <t>Michael</t>
        </is>
      </c>
      <c r="D5" s="20" t="inlineStr">
        <is>
          <t>Household</t>
        </is>
      </c>
    </row>
    <row r="6">
      <c r="A6" s="16" t="inlineStr">
        <is>
          <t>Private pension (drawdown ~4%)</t>
        </is>
      </c>
      <c r="B6" s="17">
        <f>'Retirement income'!B14</f>
        <v>2327.027511</v>
      </c>
      <c r="C6" s="17">
        <f>Inputs!B43</f>
        <v>25365.606094</v>
      </c>
      <c r="D6" s="18">
        <f>B6+C6</f>
        <v>27692.633606</v>
      </c>
    </row>
    <row r="7">
      <c r="A7" s="16" t="inlineStr">
        <is>
          <t>DB / service pension (Teachers' · RAF)</t>
        </is>
      </c>
      <c r="B7" s="17">
        <f>Inputs!B32</f>
        <v>6981.65</v>
      </c>
      <c r="C7" s="17">
        <f>Inputs!B53</f>
        <v>5340</v>
      </c>
      <c r="D7" s="18">
        <f>B7+C7</f>
        <v>12321.65</v>
      </c>
    </row>
    <row r="8">
      <c r="A8" s="16" t="inlineStr">
        <is>
          <t>State Pension</t>
        </is>
      </c>
      <c r="B8" s="17">
        <f>Inputs!B31</f>
        <v>11973</v>
      </c>
      <c r="C8" s="17">
        <f>Inputs!B39</f>
        <v>12532</v>
      </c>
      <c r="D8" s="18">
        <f>B8+C8</f>
        <v>24505</v>
      </c>
    </row>
    <row r="9">
      <c r="A9" s="22" t="inlineStr">
        <is>
          <t>Total annual income</t>
        </is>
      </c>
      <c r="B9" s="23">
        <f>SUM(B6:B8)</f>
        <v>21281.677511</v>
      </c>
      <c r="C9" s="23">
        <f>SUM(C6:C8)</f>
        <v>43237.606094</v>
      </c>
      <c r="D9" s="23">
        <f>SUM(D6:D8)</f>
        <v>64519.283606</v>
      </c>
    </row>
    <row r="10">
      <c r="A10" s="4" t="inlineStr">
        <is>
          <t>≈ per month</t>
        </is>
      </c>
      <c r="D10" s="8">
        <f>D9/12</f>
        <v>5376.606967</v>
      </c>
    </row>
    <row r="12">
      <c r="A12" s="3" t="inlineStr">
        <is>
          <t>Against PLSA couple benchmarks (today's money)</t>
        </is>
      </c>
    </row>
    <row r="13">
      <c r="A13" s="15" t="inlineStr">
        <is>
          <t>Standard</t>
        </is>
      </c>
      <c r="B13" s="15" t="inlineStr">
        <is>
          <t>Couple / yr</t>
        </is>
      </c>
      <c r="C13" s="15" t="inlineStr">
        <is>
          <t>Household vs benchmark</t>
        </is>
      </c>
    </row>
    <row r="14">
      <c r="A14" s="16" t="inlineStr">
        <is>
          <t>Minimum</t>
        </is>
      </c>
      <c r="B14" s="24" t="n">
        <v>22400</v>
      </c>
      <c r="C14" s="25">
        <f>D9-B14</f>
        <v>42119.283606</v>
      </c>
    </row>
    <row r="15">
      <c r="A15" s="16" t="inlineStr">
        <is>
          <t>Moderate</t>
        </is>
      </c>
      <c r="B15" s="24" t="n">
        <v>43100</v>
      </c>
      <c r="C15" s="25">
        <f>D9-B15</f>
        <v>21419.283606</v>
      </c>
    </row>
    <row r="16">
      <c r="A16" s="16" t="inlineStr">
        <is>
          <t>Comfortable</t>
        </is>
      </c>
      <c r="B16" s="24" t="n">
        <v>59000</v>
      </c>
      <c r="C16" s="25">
        <f>D9-B16</f>
        <v>5519.283606</v>
      </c>
    </row>
    <row r="17">
      <c r="A17" s="2" t="inlineStr">
        <is>
          <t>PLSA couple figures are illustrative — verify current values at retirementlivingstandards.org.uk.</t>
        </is>
      </c>
    </row>
    <row r="19">
      <c r="A19" s="3" t="inlineStr">
        <is>
          <t>Notes</t>
        </is>
      </c>
    </row>
    <row r="20">
      <c r="A20" s="2" t="inlineStr">
        <is>
          <t>• Private-pension (drawdown) figures are in FUTURE money; State Pension &amp; DB are in today's money — treat the total as indicative.</t>
        </is>
      </c>
    </row>
    <row r="21">
      <c r="A21" s="2" t="inlineStr">
        <is>
          <t>• Timing: Michael's State Pension starts Nov 2039; Janey's at age 67 (~2040). Each has a short gap between retiring at 65 and their State Pension starting — plan those bridge years.</t>
        </is>
      </c>
    </row>
    <row r="22">
      <c r="A22" s="2" t="inlineStr">
        <is>
          <t>• Michael's private pension shows £0 until his pot and contributions are entered on the Inputs tab (cells B41, B42).</t>
        </is>
      </c>
    </row>
    <row r="23">
      <c r="A23" s="2" t="inlineStr">
        <is>
          <t>• The £500k mortgage-free home is a household asset, not counted as income here — it can support later-life options (e.g. downsizing).</t>
        </is>
      </c>
    </row>
    <row r="24">
      <c r="A24" s="2" t="inlineStr">
        <is>
          <t>• This is planning material, not regulated financial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2026-09-19T09:41:01Z</dcterms:created>
  <dcterms:modified xsi:type="dcterms:W3CDTF">2026-09-19T09:41:01Z</dcterms:modified>
</cp:coreProperties>
</file>