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Born ~1972–73 → State Pension age is 67, not 65. Confirm at gov.uk/state-pension-age.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From DOB 02/07/1969 (Aegon transfer authority) → age 57 in 2026.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Assumed to start Nov 2039 (per instruction). NOTE: a 1969 DOB would normally mean a State Pension age ~2036–37, so confirm this date at gov.uk/check-state-pension.</t>
        </is>
      </c>
    </row>
    <row r="40">
      <c r="A40" s="4" t="inlineStr">
        <is>
          <t>Michael's existing pension pot today (£)</t>
        </is>
      </c>
      <c r="B40" s="7" t="n">
        <v>221974.07</v>
      </c>
      <c r="C40" s="2" t="inlineStr">
        <is>
          <t>Aegon SIPP — £221,974.07 consolidated from Scottish Equitable (transfer authority, Jun 2024). Excludes his newer NEST pot (current employer) — value unknown, add when known.</t>
        </is>
      </c>
    </row>
    <row r="41">
      <c r="A41" s="4" t="inlineStr">
        <is>
          <t>Michael's gross annual contribution (£)</t>
        </is>
      </c>
      <c r="B41" s="11" t="n">
        <v>0</v>
      </c>
      <c r="C41" s="2" t="inlineStr">
        <is>
          <t>TO ADD — 10% salary sacrifice into NEST + employer top-up (since Apr 2025). Needs Michael's salary to quantify. Left at £0 for now, so the pot below is 'existing pot only, no new contributions'.</t>
        </is>
      </c>
    </row>
    <row r="42">
      <c r="A42" s="9" t="inlineStr">
        <is>
          <t>Michael's pot at retirement (£)</t>
        </is>
      </c>
      <c r="B42" s="10">
        <f>FV(B23,B37,-B41,-B40,1)</f>
        <v>315669.460981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12626.778439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6981.65</v>
      </c>
      <c r="C20" s="17">
        <f>Inputs!B32</f>
        <v>6981.65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9308.677511</v>
      </c>
      <c r="C22" s="23">
        <f>SUM(C19:C21)</f>
        <v>21281.677511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12626.778439</v>
      </c>
      <c r="D6" s="18">
        <f>B6+C6</f>
        <v>14953.80595</v>
      </c>
    </row>
    <row r="7">
      <c r="A7" s="16" t="inlineStr">
        <is>
          <t>Defined-benefit pension</t>
        </is>
      </c>
      <c r="B7" s="17">
        <f>Inputs!B32</f>
        <v>6981.65</v>
      </c>
      <c r="C7" s="18" t="n">
        <v>0</v>
      </c>
      <c r="D7" s="18">
        <f>B7+C7</f>
        <v>6981.65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21281.677511</v>
      </c>
      <c r="C9" s="23">
        <f>SUM(C6:C8)</f>
        <v>25158.778439</v>
      </c>
      <c r="D9" s="23">
        <f>SUM(D6:D8)</f>
        <v>46440.45595</v>
      </c>
    </row>
    <row r="10">
      <c r="A10" s="4" t="inlineStr">
        <is>
          <t>≈ per month</t>
        </is>
      </c>
      <c r="D10" s="8">
        <f>D9/12</f>
        <v>3870.037996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24040.45595</v>
      </c>
    </row>
    <row r="15">
      <c r="A15" s="16" t="inlineStr">
        <is>
          <t>Moderate</t>
        </is>
      </c>
      <c r="B15" s="24" t="n">
        <v>43100</v>
      </c>
      <c r="C15" s="25">
        <f>D9-B15</f>
        <v>3340.45595</v>
      </c>
    </row>
    <row r="16">
      <c r="A16" s="16" t="inlineStr">
        <is>
          <t>Comfortable</t>
        </is>
      </c>
      <c r="B16" s="24" t="n">
        <v>59000</v>
      </c>
      <c r="C16" s="25">
        <f>D9-B16</f>
        <v>-12559.54405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2026-09-19T09:13:59Z</dcterms:created>
  <dcterms:modified xsi:type="dcterms:W3CDTF">2026-09-19T09:13:59Z</dcterms:modified>
</cp:coreProperties>
</file>