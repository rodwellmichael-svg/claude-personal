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Deferred DB (school) pension per year (£)</t>
        </is>
      </c>
      <c r="B32" s="11" t="n">
        <v>0</v>
      </c>
      <c r="C32" s="2" t="inlineStr">
        <is>
          <t>TO TRACE — Teachers' Pension Scheme or LGPS, ~1998–2002. Small but guaranteed &amp; inflation-linked. Request a deferred-benefit statement.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53</v>
      </c>
      <c r="C35" s="2" t="inlineStr">
        <is>
          <t>Inferred from a State Pension date of Nov 2039 (≈ age 67 → born ~late 1972). Adjust if needed.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12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Starts Nov 2039 (~age 67).</t>
        </is>
      </c>
    </row>
    <row r="40">
      <c r="A40" s="4" t="inlineStr">
        <is>
          <t>Michael's existing pension pot today (£)</t>
        </is>
      </c>
      <c r="B40" s="11" t="n">
        <v>0</v>
      </c>
      <c r="C40" s="2" t="inlineStr">
        <is>
          <t>FILL IN — total value of Michael's DC pension pot(s) today.</t>
        </is>
      </c>
    </row>
    <row r="41">
      <c r="A41" s="4" t="inlineStr">
        <is>
          <t>Michael's gross annual contribution (£)</t>
        </is>
      </c>
      <c r="B41" s="11" t="n">
        <v>0</v>
      </c>
      <c r="C41" s="2" t="inlineStr">
        <is>
          <t>FILL IN — employee + employer + tax relief going in per year.</t>
        </is>
      </c>
    </row>
    <row r="42">
      <c r="A42" s="9" t="inlineStr">
        <is>
          <t>Michael's pot at retirement (£)</t>
        </is>
      </c>
      <c r="B42" s="10">
        <f>FV(B23,B37,-B41,-B40,1)</f>
        <v>0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0</v>
      </c>
      <c r="C43" s="2" t="inlineStr">
        <is>
          <t>~4% of his pot per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0</v>
      </c>
      <c r="C20" s="17">
        <f>Inputs!B32</f>
        <v>0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2327.027511</v>
      </c>
      <c r="C22" s="23">
        <f>SUM(C19:C21)</f>
        <v>14300.027511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Trace the 1998–2002 school DB pension and get a deferred statement.</t>
        </is>
      </c>
    </row>
    <row r="29">
      <c r="A29" s="4" t="inlineStr">
        <is>
          <t>3. Plan the 65→67 income bridge (private pension / husband's income / savings).</t>
        </is>
      </c>
    </row>
    <row r="30">
      <c r="A30" s="4" t="inlineStr">
        <is>
          <t>4. Consider whether the husband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0</v>
      </c>
      <c r="D6" s="18">
        <f>B6+C6</f>
        <v>2327.027511</v>
      </c>
    </row>
    <row r="7">
      <c r="A7" s="16" t="inlineStr">
        <is>
          <t>Defined-benefit pension</t>
        </is>
      </c>
      <c r="B7" s="17">
        <f>Inputs!B32</f>
        <v>0</v>
      </c>
      <c r="C7" s="18" t="n">
        <v>0</v>
      </c>
      <c r="D7" s="18">
        <f>B7+C7</f>
        <v>0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14300.027511</v>
      </c>
      <c r="C9" s="23">
        <f>SUM(C6:C8)</f>
        <v>12532</v>
      </c>
      <c r="D9" s="23">
        <f>SUM(D6:D8)</f>
        <v>26832.027511</v>
      </c>
    </row>
    <row r="10">
      <c r="A10" s="4" t="inlineStr">
        <is>
          <t>≈ per month</t>
        </is>
      </c>
      <c r="D10" s="8">
        <f>D9/12</f>
        <v>2236.002293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4432.027511</v>
      </c>
    </row>
    <row r="15">
      <c r="A15" s="16" t="inlineStr">
        <is>
          <t>Moderate</t>
        </is>
      </c>
      <c r="B15" s="24" t="n">
        <v>43100</v>
      </c>
      <c r="C15" s="25">
        <f>D9-B15</f>
        <v>-16267.972489</v>
      </c>
    </row>
    <row r="16">
      <c r="A16" s="16" t="inlineStr">
        <is>
          <t>Comfortable</t>
        </is>
      </c>
      <c r="B16" s="24" t="n">
        <v>59000</v>
      </c>
      <c r="C16" s="25">
        <f>D9-B16</f>
        <v>-32167.972489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2026-09-19T08:56:05Z</dcterms:created>
  <dcterms:modified xsi:type="dcterms:W3CDTF">2026-09-19T08:56:05Z</dcterms:modified>
</cp:coreProperties>
</file>