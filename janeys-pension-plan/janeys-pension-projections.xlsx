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  <sheet name="Timeline" sheetId="5" state="visible" r:id="rId5"/>
    <sheet name="Retire 60 vs 6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DOB 05/11/1972 → State Pension age 67, payable from 05/11/2039 (not 65).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DOB 02/07/1969 (confirmed)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DOB 02/07/1969 → State Pension age 67, payable from ~02/07/2036 (earlier than the Nov 2039 first assumed). Confirm the amount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  <row r="52">
      <c r="A52" s="3" t="inlineStr">
        <is>
          <t>Michael's RAF pension (AFPS 75) — estimate</t>
        </is>
      </c>
    </row>
    <row r="53">
      <c r="A53" s="4" t="inlineStr">
        <is>
          <t>AFPS 75 preserved pension per year (£)</t>
        </is>
      </c>
      <c r="B53" s="11" t="n">
        <v>5340</v>
      </c>
      <c r="C53" s="2" t="inlineStr">
        <is>
          <t>ESTIMATE — RAF 1990–98 (8 yrs), Sgt. ~8/22 of a Sgt's 22-yr pension (~£14,684) ≈ £5,340. Aircrew rates were higher, so likely more. GET AN OFFICIAL FORECAST from Veterans UK / DBS.</t>
        </is>
      </c>
    </row>
    <row r="54">
      <c r="A54" s="4" t="inlineStr">
        <is>
          <t>AFPS 75 tax-free lump sum (£)</t>
        </is>
      </c>
      <c r="B54" s="11" t="n">
        <v>16020</v>
      </c>
      <c r="C54" s="2" t="inlineStr">
        <is>
          <t>≈ 3 × the annual pension, tax-free. Payable with the pension from AGE 60. Index-linked (CPI).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25365.606094</v>
      </c>
      <c r="D6" s="18">
        <f>B6+C6</f>
        <v>27692.633606</v>
      </c>
    </row>
    <row r="7">
      <c r="A7" s="16" t="inlineStr">
        <is>
          <t>DB / service pension (Teachers' · RAF)</t>
        </is>
      </c>
      <c r="B7" s="17">
        <f>Inputs!B32</f>
        <v>6981.65</v>
      </c>
      <c r="C7" s="17">
        <f>Inputs!B53</f>
        <v>5340</v>
      </c>
      <c r="D7" s="18">
        <f>B7+C7</f>
        <v>12321.65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43237.606094</v>
      </c>
      <c r="D9" s="23">
        <f>SUM(D6:D8)</f>
        <v>64519.283606</v>
      </c>
    </row>
    <row r="10">
      <c r="A10" s="4" t="inlineStr">
        <is>
          <t>≈ per month</t>
        </is>
      </c>
      <c r="D10" s="8">
        <f>D9/12</f>
        <v>5376.606967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42119.283606</v>
      </c>
    </row>
    <row r="15">
      <c r="A15" s="16" t="inlineStr">
        <is>
          <t>Moderate</t>
        </is>
      </c>
      <c r="B15" s="24" t="n">
        <v>43100</v>
      </c>
      <c r="C15" s="25">
        <f>D9-B15</f>
        <v>21419.283606</v>
      </c>
    </row>
    <row r="16">
      <c r="A16" s="16" t="inlineStr">
        <is>
          <t>Comfortable</t>
        </is>
      </c>
      <c r="B16" s="24" t="n">
        <v>59000</v>
      </c>
      <c r="C16" s="25">
        <f>D9-B16</f>
        <v>5519.283606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1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3" customWidth="1" min="11" max="11"/>
    <col width="30" customWidth="1" min="12" max="12"/>
  </cols>
  <sheetData>
    <row r="1">
      <c r="A1" s="1" t="inlineStr">
        <is>
          <t>Year-by-year household income (today's money, indicative)</t>
        </is>
      </c>
    </row>
    <row r="2">
      <c r="A2" s="2" t="inlineStr">
        <is>
          <t>Each stream switches on at the right age (service pensions 60, retirement/drawdown 65, State Pension 67). Amounts as modelled on the other tabs; first year of each may be part-year.</t>
        </is>
      </c>
    </row>
    <row r="4">
      <c r="A4" s="15" t="inlineStr">
        <is>
          <t>Year</t>
        </is>
      </c>
      <c r="B4" s="15" t="inlineStr">
        <is>
          <t>Mike</t>
        </is>
      </c>
      <c r="C4" s="15" t="inlineStr">
        <is>
          <t>Jane</t>
        </is>
      </c>
      <c r="D4" s="15" t="inlineStr">
        <is>
          <t>Mike RAF</t>
        </is>
      </c>
      <c r="E4" s="15" t="inlineStr">
        <is>
          <t>Mike pot</t>
        </is>
      </c>
      <c r="F4" s="15" t="inlineStr">
        <is>
          <t>Mike State</t>
        </is>
      </c>
      <c r="G4" s="15" t="inlineStr">
        <is>
          <t>Jane Tchr</t>
        </is>
      </c>
      <c r="H4" s="15" t="inlineStr">
        <is>
          <t>Jane pot</t>
        </is>
      </c>
      <c r="I4" s="15" t="inlineStr">
        <is>
          <t>Jane State</t>
        </is>
      </c>
      <c r="J4" s="15" t="inlineStr">
        <is>
          <t>Household /yr</t>
        </is>
      </c>
      <c r="K4" s="15" t="inlineStr">
        <is>
          <t>Lump sums</t>
        </is>
      </c>
      <c r="L4" s="15" t="inlineStr">
        <is>
          <t>Milestone</t>
        </is>
      </c>
    </row>
    <row r="5">
      <c r="A5" s="16" t="n">
        <v>2026</v>
      </c>
      <c r="B5" s="16">
        <f>A5-1969</f>
        <v>57</v>
      </c>
      <c r="C5" s="16">
        <f>A5-1972</f>
        <v>54</v>
      </c>
      <c r="D5" s="18">
        <f>IF(B5&gt;=60,Inputs!B53,0)</f>
        <v>0</v>
      </c>
      <c r="E5" s="18">
        <f>IF(B5&gt;=Inputs!B36,Inputs!B43,0)</f>
        <v>0</v>
      </c>
      <c r="F5" s="18">
        <f>IF(B5&gt;=67,Inputs!B39,0)</f>
        <v>0</v>
      </c>
      <c r="G5" s="18">
        <f>IF(C5&gt;=60,Inputs!B32,0)</f>
        <v>0</v>
      </c>
      <c r="H5" s="18">
        <f>IF(C5&gt;=Inputs!B6,'Retirement income'!B14,0)</f>
        <v>0</v>
      </c>
      <c r="I5" s="18">
        <f>IF(C5&gt;=67,Inputs!B31,0)</f>
        <v>0</v>
      </c>
      <c r="J5" s="23">
        <f>SUM(D5:I5)</f>
        <v>0</v>
      </c>
      <c r="K5" s="18">
        <f>IF(B5=60,Inputs!B54,0)+IF(C5=60,Inputs!B47,0)</f>
        <v>0</v>
      </c>
      <c r="L5" s="26" t="n"/>
    </row>
    <row r="6">
      <c r="A6" s="16" t="n">
        <v>2027</v>
      </c>
      <c r="B6" s="16">
        <f>A6-1969</f>
        <v>58</v>
      </c>
      <c r="C6" s="16">
        <f>A6-1972</f>
        <v>55</v>
      </c>
      <c r="D6" s="18">
        <f>IF(B6&gt;=60,Inputs!B53,0)</f>
        <v>0</v>
      </c>
      <c r="E6" s="18">
        <f>IF(B6&gt;=Inputs!B36,Inputs!B43,0)</f>
        <v>0</v>
      </c>
      <c r="F6" s="18">
        <f>IF(B6&gt;=67,Inputs!B39,0)</f>
        <v>0</v>
      </c>
      <c r="G6" s="18">
        <f>IF(C6&gt;=60,Inputs!B32,0)</f>
        <v>0</v>
      </c>
      <c r="H6" s="18">
        <f>IF(C6&gt;=Inputs!B6,'Retirement income'!B14,0)</f>
        <v>0</v>
      </c>
      <c r="I6" s="18">
        <f>IF(C6&gt;=67,Inputs!B31,0)</f>
        <v>0</v>
      </c>
      <c r="J6" s="23">
        <f>SUM(D6:I6)</f>
        <v>0</v>
      </c>
      <c r="K6" s="18">
        <f>IF(B6=60,Inputs!B54,0)+IF(C6=60,Inputs!B47,0)</f>
        <v>0</v>
      </c>
      <c r="L6" s="26" t="n"/>
    </row>
    <row r="7">
      <c r="A7" s="16" t="n">
        <v>2028</v>
      </c>
      <c r="B7" s="16">
        <f>A7-1969</f>
        <v>59</v>
      </c>
      <c r="C7" s="16">
        <f>A7-1972</f>
        <v>56</v>
      </c>
      <c r="D7" s="18">
        <f>IF(B7&gt;=60,Inputs!B53,0)</f>
        <v>0</v>
      </c>
      <c r="E7" s="18">
        <f>IF(B7&gt;=Inputs!B36,Inputs!B43,0)</f>
        <v>0</v>
      </c>
      <c r="F7" s="18">
        <f>IF(B7&gt;=67,Inputs!B39,0)</f>
        <v>0</v>
      </c>
      <c r="G7" s="18">
        <f>IF(C7&gt;=60,Inputs!B32,0)</f>
        <v>0</v>
      </c>
      <c r="H7" s="18">
        <f>IF(C7&gt;=Inputs!B6,'Retirement income'!B14,0)</f>
        <v>0</v>
      </c>
      <c r="I7" s="18">
        <f>IF(C7&gt;=67,Inputs!B31,0)</f>
        <v>0</v>
      </c>
      <c r="J7" s="23">
        <f>SUM(D7:I7)</f>
        <v>0</v>
      </c>
      <c r="K7" s="18">
        <f>IF(B7=60,Inputs!B54,0)+IF(C7=60,Inputs!B47,0)</f>
        <v>0</v>
      </c>
      <c r="L7" s="26" t="n"/>
    </row>
    <row r="8">
      <c r="A8" s="16" t="n">
        <v>2029</v>
      </c>
      <c r="B8" s="16">
        <f>A8-1969</f>
        <v>60</v>
      </c>
      <c r="C8" s="16">
        <f>A8-1972</f>
        <v>57</v>
      </c>
      <c r="D8" s="18">
        <f>IF(B8&gt;=60,Inputs!B53,0)</f>
        <v>5340</v>
      </c>
      <c r="E8" s="18">
        <f>IF(B8&gt;=Inputs!B36,Inputs!B43,0)</f>
        <v>0</v>
      </c>
      <c r="F8" s="18">
        <f>IF(B8&gt;=67,Inputs!B39,0)</f>
        <v>0</v>
      </c>
      <c r="G8" s="18">
        <f>IF(C8&gt;=60,Inputs!B32,0)</f>
        <v>0</v>
      </c>
      <c r="H8" s="18">
        <f>IF(C8&gt;=Inputs!B6,'Retirement income'!B14,0)</f>
        <v>0</v>
      </c>
      <c r="I8" s="18">
        <f>IF(C8&gt;=67,Inputs!B31,0)</f>
        <v>0</v>
      </c>
      <c r="J8" s="23">
        <f>SUM(D8:I8)</f>
        <v>5340</v>
      </c>
      <c r="K8" s="18">
        <f>IF(B8=60,Inputs!B54,0)+IF(C8=60,Inputs!B47,0)</f>
        <v>16020</v>
      </c>
      <c r="L8" s="27" t="inlineStr">
        <is>
          <t>Mike 60 → RAF pension + lump sum</t>
        </is>
      </c>
    </row>
    <row r="9">
      <c r="A9" s="16" t="n">
        <v>2030</v>
      </c>
      <c r="B9" s="16">
        <f>A9-1969</f>
        <v>61</v>
      </c>
      <c r="C9" s="16">
        <f>A9-1972</f>
        <v>58</v>
      </c>
      <c r="D9" s="18">
        <f>IF(B9&gt;=60,Inputs!B53,0)</f>
        <v>5340</v>
      </c>
      <c r="E9" s="18">
        <f>IF(B9&gt;=Inputs!B36,Inputs!B43,0)</f>
        <v>0</v>
      </c>
      <c r="F9" s="18">
        <f>IF(B9&gt;=67,Inputs!B39,0)</f>
        <v>0</v>
      </c>
      <c r="G9" s="18">
        <f>IF(C9&gt;=60,Inputs!B32,0)</f>
        <v>0</v>
      </c>
      <c r="H9" s="18">
        <f>IF(C9&gt;=Inputs!B6,'Retirement income'!B14,0)</f>
        <v>0</v>
      </c>
      <c r="I9" s="18">
        <f>IF(C9&gt;=67,Inputs!B31,0)</f>
        <v>0</v>
      </c>
      <c r="J9" s="23">
        <f>SUM(D9:I9)</f>
        <v>5340</v>
      </c>
      <c r="K9" s="18">
        <f>IF(B9=60,Inputs!B54,0)+IF(C9=60,Inputs!B47,0)</f>
        <v>0</v>
      </c>
      <c r="L9" s="26" t="n"/>
    </row>
    <row r="10">
      <c r="A10" s="16" t="n">
        <v>2031</v>
      </c>
      <c r="B10" s="16">
        <f>A10-1969</f>
        <v>62</v>
      </c>
      <c r="C10" s="16">
        <f>A10-1972</f>
        <v>59</v>
      </c>
      <c r="D10" s="18">
        <f>IF(B10&gt;=60,Inputs!B53,0)</f>
        <v>5340</v>
      </c>
      <c r="E10" s="18">
        <f>IF(B10&gt;=Inputs!B36,Inputs!B43,0)</f>
        <v>0</v>
      </c>
      <c r="F10" s="18">
        <f>IF(B10&gt;=67,Inputs!B39,0)</f>
        <v>0</v>
      </c>
      <c r="G10" s="18">
        <f>IF(C10&gt;=60,Inputs!B32,0)</f>
        <v>0</v>
      </c>
      <c r="H10" s="18">
        <f>IF(C10&gt;=Inputs!B6,'Retirement income'!B14,0)</f>
        <v>0</v>
      </c>
      <c r="I10" s="18">
        <f>IF(C10&gt;=67,Inputs!B31,0)</f>
        <v>0</v>
      </c>
      <c r="J10" s="23">
        <f>SUM(D10:I10)</f>
        <v>5340</v>
      </c>
      <c r="K10" s="18">
        <f>IF(B10=60,Inputs!B54,0)+IF(C10=60,Inputs!B47,0)</f>
        <v>0</v>
      </c>
      <c r="L10" s="26" t="n"/>
    </row>
    <row r="11">
      <c r="A11" s="16" t="n">
        <v>2032</v>
      </c>
      <c r="B11" s="16">
        <f>A11-1969</f>
        <v>63</v>
      </c>
      <c r="C11" s="16">
        <f>A11-1972</f>
        <v>60</v>
      </c>
      <c r="D11" s="18">
        <f>IF(B11&gt;=60,Inputs!B53,0)</f>
        <v>5340</v>
      </c>
      <c r="E11" s="18">
        <f>IF(B11&gt;=Inputs!B36,Inputs!B43,0)</f>
        <v>0</v>
      </c>
      <c r="F11" s="18">
        <f>IF(B11&gt;=67,Inputs!B39,0)</f>
        <v>0</v>
      </c>
      <c r="G11" s="18">
        <f>IF(C11&gt;=60,Inputs!B32,0)</f>
        <v>6981.65</v>
      </c>
      <c r="H11" s="18">
        <f>IF(C11&gt;=Inputs!B6,'Retirement income'!B14,0)</f>
        <v>0</v>
      </c>
      <c r="I11" s="18">
        <f>IF(C11&gt;=67,Inputs!B31,0)</f>
        <v>0</v>
      </c>
      <c r="J11" s="23">
        <f>SUM(D11:I11)</f>
        <v>12321.65</v>
      </c>
      <c r="K11" s="18">
        <f>IF(B11=60,Inputs!B54,0)+IF(C11=60,Inputs!B47,0)</f>
        <v>20944.98</v>
      </c>
      <c r="L11" s="27" t="inlineStr">
        <is>
          <t>Jane 60 → Teachers' pension + lump sum</t>
        </is>
      </c>
    </row>
    <row r="12">
      <c r="A12" s="16" t="n">
        <v>2033</v>
      </c>
      <c r="B12" s="16">
        <f>A12-1969</f>
        <v>64</v>
      </c>
      <c r="C12" s="16">
        <f>A12-1972</f>
        <v>61</v>
      </c>
      <c r="D12" s="18">
        <f>IF(B12&gt;=60,Inputs!B53,0)</f>
        <v>5340</v>
      </c>
      <c r="E12" s="18">
        <f>IF(B12&gt;=Inputs!B36,Inputs!B43,0)</f>
        <v>0</v>
      </c>
      <c r="F12" s="18">
        <f>IF(B12&gt;=67,Inputs!B39,0)</f>
        <v>0</v>
      </c>
      <c r="G12" s="18">
        <f>IF(C12&gt;=60,Inputs!B32,0)</f>
        <v>6981.65</v>
      </c>
      <c r="H12" s="18">
        <f>IF(C12&gt;=Inputs!B6,'Retirement income'!B14,0)</f>
        <v>0</v>
      </c>
      <c r="I12" s="18">
        <f>IF(C12&gt;=67,Inputs!B31,0)</f>
        <v>0</v>
      </c>
      <c r="J12" s="23">
        <f>SUM(D12:I12)</f>
        <v>12321.65</v>
      </c>
      <c r="K12" s="18">
        <f>IF(B12=60,Inputs!B54,0)+IF(C12=60,Inputs!B47,0)</f>
        <v>0</v>
      </c>
      <c r="L12" s="26" t="n"/>
    </row>
    <row r="13">
      <c r="A13" s="16" t="n">
        <v>2034</v>
      </c>
      <c r="B13" s="16">
        <f>A13-1969</f>
        <v>65</v>
      </c>
      <c r="C13" s="16">
        <f>A13-1972</f>
        <v>62</v>
      </c>
      <c r="D13" s="18">
        <f>IF(B13&gt;=60,Inputs!B53,0)</f>
        <v>5340</v>
      </c>
      <c r="E13" s="18">
        <f>IF(B13&gt;=Inputs!B36,Inputs!B43,0)</f>
        <v>25365.606094</v>
      </c>
      <c r="F13" s="18">
        <f>IF(B13&gt;=67,Inputs!B39,0)</f>
        <v>0</v>
      </c>
      <c r="G13" s="18">
        <f>IF(C13&gt;=60,Inputs!B32,0)</f>
        <v>6981.65</v>
      </c>
      <c r="H13" s="18">
        <f>IF(C13&gt;=Inputs!B6,'Retirement income'!B14,0)</f>
        <v>0</v>
      </c>
      <c r="I13" s="18">
        <f>IF(C13&gt;=67,Inputs!B31,0)</f>
        <v>0</v>
      </c>
      <c r="J13" s="23">
        <f>SUM(D13:I13)</f>
        <v>37687.256094</v>
      </c>
      <c r="K13" s="18">
        <f>IF(B13=60,Inputs!B54,0)+IF(C13=60,Inputs!B47,0)</f>
        <v>0</v>
      </c>
      <c r="L13" s="27" t="inlineStr">
        <is>
          <t>Mike 65 → retires, draws DC pot</t>
        </is>
      </c>
    </row>
    <row r="14">
      <c r="A14" s="16" t="n">
        <v>2035</v>
      </c>
      <c r="B14" s="16">
        <f>A14-1969</f>
        <v>66</v>
      </c>
      <c r="C14" s="16">
        <f>A14-1972</f>
        <v>63</v>
      </c>
      <c r="D14" s="18">
        <f>IF(B14&gt;=60,Inputs!B53,0)</f>
        <v>5340</v>
      </c>
      <c r="E14" s="18">
        <f>IF(B14&gt;=Inputs!B36,Inputs!B43,0)</f>
        <v>25365.606094</v>
      </c>
      <c r="F14" s="18">
        <f>IF(B14&gt;=67,Inputs!B39,0)</f>
        <v>0</v>
      </c>
      <c r="G14" s="18">
        <f>IF(C14&gt;=60,Inputs!B32,0)</f>
        <v>6981.65</v>
      </c>
      <c r="H14" s="18">
        <f>IF(C14&gt;=Inputs!B6,'Retirement income'!B14,0)</f>
        <v>0</v>
      </c>
      <c r="I14" s="18">
        <f>IF(C14&gt;=67,Inputs!B31,0)</f>
        <v>0</v>
      </c>
      <c r="J14" s="23">
        <f>SUM(D14:I14)</f>
        <v>37687.256094</v>
      </c>
      <c r="K14" s="18">
        <f>IF(B14=60,Inputs!B54,0)+IF(C14=60,Inputs!B47,0)</f>
        <v>0</v>
      </c>
      <c r="L14" s="26" t="n"/>
    </row>
    <row r="15">
      <c r="A15" s="16" t="n">
        <v>2036</v>
      </c>
      <c r="B15" s="16">
        <f>A15-1969</f>
        <v>67</v>
      </c>
      <c r="C15" s="16">
        <f>A15-1972</f>
        <v>64</v>
      </c>
      <c r="D15" s="18">
        <f>IF(B15&gt;=60,Inputs!B53,0)</f>
        <v>5340</v>
      </c>
      <c r="E15" s="18">
        <f>IF(B15&gt;=Inputs!B36,Inputs!B43,0)</f>
        <v>25365.606094</v>
      </c>
      <c r="F15" s="18">
        <f>IF(B15&gt;=67,Inputs!B39,0)</f>
        <v>12532</v>
      </c>
      <c r="G15" s="18">
        <f>IF(C15&gt;=60,Inputs!B32,0)</f>
        <v>6981.65</v>
      </c>
      <c r="H15" s="18">
        <f>IF(C15&gt;=Inputs!B6,'Retirement income'!B14,0)</f>
        <v>0</v>
      </c>
      <c r="I15" s="18">
        <f>IF(C15&gt;=67,Inputs!B31,0)</f>
        <v>0</v>
      </c>
      <c r="J15" s="23">
        <f>SUM(D15:I15)</f>
        <v>50219.256094</v>
      </c>
      <c r="K15" s="18">
        <f>IF(B15=60,Inputs!B54,0)+IF(C15=60,Inputs!B47,0)</f>
        <v>0</v>
      </c>
      <c r="L15" s="27" t="inlineStr">
        <is>
          <t>Mike 67 → State Pension starts</t>
        </is>
      </c>
    </row>
    <row r="16">
      <c r="A16" s="16" t="n">
        <v>2037</v>
      </c>
      <c r="B16" s="16">
        <f>A16-1969</f>
        <v>68</v>
      </c>
      <c r="C16" s="16">
        <f>A16-1972</f>
        <v>65</v>
      </c>
      <c r="D16" s="18">
        <f>IF(B16&gt;=60,Inputs!B53,0)</f>
        <v>5340</v>
      </c>
      <c r="E16" s="18">
        <f>IF(B16&gt;=Inputs!B36,Inputs!B43,0)</f>
        <v>25365.606094</v>
      </c>
      <c r="F16" s="18">
        <f>IF(B16&gt;=67,Inputs!B39,0)</f>
        <v>12532</v>
      </c>
      <c r="G16" s="18">
        <f>IF(C16&gt;=60,Inputs!B32,0)</f>
        <v>6981.65</v>
      </c>
      <c r="H16" s="18">
        <f>IF(C16&gt;=Inputs!B6,'Retirement income'!B14,0)</f>
        <v>2327.027511</v>
      </c>
      <c r="I16" s="18">
        <f>IF(C16&gt;=67,Inputs!B31,0)</f>
        <v>0</v>
      </c>
      <c r="J16" s="23">
        <f>SUM(D16:I16)</f>
        <v>52546.283606</v>
      </c>
      <c r="K16" s="18">
        <f>IF(B16=60,Inputs!B54,0)+IF(C16=60,Inputs!B47,0)</f>
        <v>0</v>
      </c>
      <c r="L16" s="27" t="inlineStr">
        <is>
          <t>Jane 65 → retires, draws DC pot</t>
        </is>
      </c>
    </row>
    <row r="17">
      <c r="A17" s="16" t="n">
        <v>2038</v>
      </c>
      <c r="B17" s="16">
        <f>A17-1969</f>
        <v>69</v>
      </c>
      <c r="C17" s="16">
        <f>A17-1972</f>
        <v>66</v>
      </c>
      <c r="D17" s="18">
        <f>IF(B17&gt;=60,Inputs!B53,0)</f>
        <v>5340</v>
      </c>
      <c r="E17" s="18">
        <f>IF(B17&gt;=Inputs!B36,Inputs!B43,0)</f>
        <v>25365.606094</v>
      </c>
      <c r="F17" s="18">
        <f>IF(B17&gt;=67,Inputs!B39,0)</f>
        <v>12532</v>
      </c>
      <c r="G17" s="18">
        <f>IF(C17&gt;=60,Inputs!B32,0)</f>
        <v>6981.65</v>
      </c>
      <c r="H17" s="18">
        <f>IF(C17&gt;=Inputs!B6,'Retirement income'!B14,0)</f>
        <v>2327.027511</v>
      </c>
      <c r="I17" s="18">
        <f>IF(C17&gt;=67,Inputs!B31,0)</f>
        <v>0</v>
      </c>
      <c r="J17" s="23">
        <f>SUM(D17:I17)</f>
        <v>52546.283606</v>
      </c>
      <c r="K17" s="18">
        <f>IF(B17=60,Inputs!B54,0)+IF(C17=60,Inputs!B47,0)</f>
        <v>0</v>
      </c>
      <c r="L17" s="26" t="n"/>
    </row>
    <row r="18">
      <c r="A18" s="16" t="n">
        <v>2039</v>
      </c>
      <c r="B18" s="16">
        <f>A18-1969</f>
        <v>70</v>
      </c>
      <c r="C18" s="16">
        <f>A18-1972</f>
        <v>67</v>
      </c>
      <c r="D18" s="18">
        <f>IF(B18&gt;=60,Inputs!B53,0)</f>
        <v>5340</v>
      </c>
      <c r="E18" s="18">
        <f>IF(B18&gt;=Inputs!B36,Inputs!B43,0)</f>
        <v>25365.606094</v>
      </c>
      <c r="F18" s="18">
        <f>IF(B18&gt;=67,Inputs!B39,0)</f>
        <v>12532</v>
      </c>
      <c r="G18" s="18">
        <f>IF(C18&gt;=60,Inputs!B32,0)</f>
        <v>6981.65</v>
      </c>
      <c r="H18" s="18">
        <f>IF(C18&gt;=Inputs!B6,'Retirement income'!B14,0)</f>
        <v>2327.027511</v>
      </c>
      <c r="I18" s="18">
        <f>IF(C18&gt;=67,Inputs!B31,0)</f>
        <v>11973</v>
      </c>
      <c r="J18" s="23">
        <f>SUM(D18:I18)</f>
        <v>64519.283606</v>
      </c>
      <c r="K18" s="18">
        <f>IF(B18=60,Inputs!B54,0)+IF(C18=60,Inputs!B47,0)</f>
        <v>0</v>
      </c>
      <c r="L18" s="27" t="inlineStr">
        <is>
          <t>Jane 67 → State Pension starts (all streams on)</t>
        </is>
      </c>
    </row>
    <row r="19">
      <c r="A19" s="16" t="n">
        <v>2040</v>
      </c>
      <c r="B19" s="16">
        <f>A19-1969</f>
        <v>71</v>
      </c>
      <c r="C19" s="16">
        <f>A19-1972</f>
        <v>68</v>
      </c>
      <c r="D19" s="18">
        <f>IF(B19&gt;=60,Inputs!B53,0)</f>
        <v>5340</v>
      </c>
      <c r="E19" s="18">
        <f>IF(B19&gt;=Inputs!B36,Inputs!B43,0)</f>
        <v>25365.606094</v>
      </c>
      <c r="F19" s="18">
        <f>IF(B19&gt;=67,Inputs!B39,0)</f>
        <v>12532</v>
      </c>
      <c r="G19" s="18">
        <f>IF(C19&gt;=60,Inputs!B32,0)</f>
        <v>6981.65</v>
      </c>
      <c r="H19" s="18">
        <f>IF(C19&gt;=Inputs!B6,'Retirement income'!B14,0)</f>
        <v>2327.027511</v>
      </c>
      <c r="I19" s="18">
        <f>IF(C19&gt;=67,Inputs!B31,0)</f>
        <v>11973</v>
      </c>
      <c r="J19" s="23">
        <f>SUM(D19:I19)</f>
        <v>64519.283606</v>
      </c>
      <c r="K19" s="18">
        <f>IF(B19=60,Inputs!B54,0)+IF(C19=60,Inputs!B47,0)</f>
        <v>0</v>
      </c>
      <c r="L19" s="26" t="n"/>
    </row>
    <row r="20">
      <c r="A20" s="16" t="n">
        <v>2041</v>
      </c>
      <c r="B20" s="16">
        <f>A20-1969</f>
        <v>72</v>
      </c>
      <c r="C20" s="16">
        <f>A20-1972</f>
        <v>69</v>
      </c>
      <c r="D20" s="18">
        <f>IF(B20&gt;=60,Inputs!B53,0)</f>
        <v>5340</v>
      </c>
      <c r="E20" s="18">
        <f>IF(B20&gt;=Inputs!B36,Inputs!B43,0)</f>
        <v>25365.606094</v>
      </c>
      <c r="F20" s="18">
        <f>IF(B20&gt;=67,Inputs!B39,0)</f>
        <v>12532</v>
      </c>
      <c r="G20" s="18">
        <f>IF(C20&gt;=60,Inputs!B32,0)</f>
        <v>6981.65</v>
      </c>
      <c r="H20" s="18">
        <f>IF(C20&gt;=Inputs!B6,'Retirement income'!B14,0)</f>
        <v>2327.027511</v>
      </c>
      <c r="I20" s="18">
        <f>IF(C20&gt;=67,Inputs!B31,0)</f>
        <v>11973</v>
      </c>
      <c r="J20" s="23">
        <f>SUM(D20:I20)</f>
        <v>64519.283606</v>
      </c>
      <c r="K20" s="18">
        <f>IF(B20=60,Inputs!B54,0)+IF(C20=60,Inputs!B47,0)</f>
        <v>0</v>
      </c>
      <c r="L20" s="26" t="n"/>
    </row>
    <row r="21">
      <c r="A21" s="16" t="n">
        <v>2042</v>
      </c>
      <c r="B21" s="16">
        <f>A21-1969</f>
        <v>73</v>
      </c>
      <c r="C21" s="16">
        <f>A21-1972</f>
        <v>70</v>
      </c>
      <c r="D21" s="18">
        <f>IF(B21&gt;=60,Inputs!B53,0)</f>
        <v>5340</v>
      </c>
      <c r="E21" s="18">
        <f>IF(B21&gt;=Inputs!B36,Inputs!B43,0)</f>
        <v>25365.606094</v>
      </c>
      <c r="F21" s="18">
        <f>IF(B21&gt;=67,Inputs!B39,0)</f>
        <v>12532</v>
      </c>
      <c r="G21" s="18">
        <f>IF(C21&gt;=60,Inputs!B32,0)</f>
        <v>6981.65</v>
      </c>
      <c r="H21" s="18">
        <f>IF(C21&gt;=Inputs!B6,'Retirement income'!B14,0)</f>
        <v>2327.027511</v>
      </c>
      <c r="I21" s="18">
        <f>IF(C21&gt;=67,Inputs!B31,0)</f>
        <v>11973</v>
      </c>
      <c r="J21" s="23">
        <f>SUM(D21:I21)</f>
        <v>64519.283606</v>
      </c>
      <c r="K21" s="18">
        <f>IF(B21=60,Inputs!B54,0)+IF(C21=60,Inputs!B47,0)</f>
        <v>0</v>
      </c>
      <c r="L21" s="26" t="n"/>
    </row>
    <row r="22">
      <c r="A22" s="16" t="n">
        <v>2043</v>
      </c>
      <c r="B22" s="16">
        <f>A22-1969</f>
        <v>74</v>
      </c>
      <c r="C22" s="16">
        <f>A22-1972</f>
        <v>71</v>
      </c>
      <c r="D22" s="18">
        <f>IF(B22&gt;=60,Inputs!B53,0)</f>
        <v>5340</v>
      </c>
      <c r="E22" s="18">
        <f>IF(B22&gt;=Inputs!B36,Inputs!B43,0)</f>
        <v>25365.606094</v>
      </c>
      <c r="F22" s="18">
        <f>IF(B22&gt;=67,Inputs!B39,0)</f>
        <v>12532</v>
      </c>
      <c r="G22" s="18">
        <f>IF(C22&gt;=60,Inputs!B32,0)</f>
        <v>6981.65</v>
      </c>
      <c r="H22" s="18">
        <f>IF(C22&gt;=Inputs!B6,'Retirement income'!B14,0)</f>
        <v>2327.027511</v>
      </c>
      <c r="I22" s="18">
        <f>IF(C22&gt;=67,Inputs!B31,0)</f>
        <v>11973</v>
      </c>
      <c r="J22" s="23">
        <f>SUM(D22:I22)</f>
        <v>64519.283606</v>
      </c>
      <c r="K22" s="18">
        <f>IF(B22=60,Inputs!B54,0)+IF(C22=60,Inputs!B47,0)</f>
        <v>0</v>
      </c>
      <c r="L22" s="26" t="n"/>
    </row>
    <row r="23">
      <c r="A23" s="16" t="n">
        <v>2044</v>
      </c>
      <c r="B23" s="16">
        <f>A23-1969</f>
        <v>75</v>
      </c>
      <c r="C23" s="16">
        <f>A23-1972</f>
        <v>72</v>
      </c>
      <c r="D23" s="18">
        <f>IF(B23&gt;=60,Inputs!B53,0)</f>
        <v>5340</v>
      </c>
      <c r="E23" s="18">
        <f>IF(B23&gt;=Inputs!B36,Inputs!B43,0)</f>
        <v>25365.606094</v>
      </c>
      <c r="F23" s="18">
        <f>IF(B23&gt;=67,Inputs!B39,0)</f>
        <v>12532</v>
      </c>
      <c r="G23" s="18">
        <f>IF(C23&gt;=60,Inputs!B32,0)</f>
        <v>6981.65</v>
      </c>
      <c r="H23" s="18">
        <f>IF(C23&gt;=Inputs!B6,'Retirement income'!B14,0)</f>
        <v>2327.027511</v>
      </c>
      <c r="I23" s="18">
        <f>IF(C23&gt;=67,Inputs!B31,0)</f>
        <v>11973</v>
      </c>
      <c r="J23" s="23">
        <f>SUM(D23:I23)</f>
        <v>64519.283606</v>
      </c>
      <c r="K23" s="18">
        <f>IF(B23=60,Inputs!B54,0)+IF(C23=60,Inputs!B47,0)</f>
        <v>0</v>
      </c>
      <c r="L23" s="26" t="n"/>
    </row>
    <row r="25">
      <c r="A25" s="2" t="inlineStr">
        <is>
          <t>Notes:</t>
        </is>
      </c>
    </row>
    <row r="26">
      <c r="A26" s="2" t="inlineStr">
        <is>
          <t>• Today's-money / real terms: guaranteed pensions (State, Teachers', RAF) are index-linked; drawdown shown flat at the modelled amount.</t>
        </is>
      </c>
    </row>
    <row r="27">
      <c r="A27" s="2" t="inlineStr">
        <is>
          <t>• Service pensions (Teachers', RAF) and their tax-free lump sums start at AGE 60 — so income is covered well before the State Pensions begin.</t>
        </is>
      </c>
    </row>
    <row r="28">
      <c r="A28" s="2" t="inlineStr">
        <is>
          <t>• 'Lump sums' column = one-off tax-free cash that year (RAF at Mike 60, Teachers' at Jane 60). The DC pots' 25% tax-free cash is additional and not shown here.</t>
        </is>
      </c>
    </row>
    <row r="29">
      <c r="A29" s="2" t="inlineStr">
        <is>
          <t>• Household /yr = sum of all streams live that year. Change any input on the Inputs tab and this recalculates.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Michael — retire early? (60 vs 62 vs 65)</t>
        </is>
      </c>
    </row>
    <row r="2">
      <c r="A2" s="2" t="inlineStr">
        <is>
          <t>Only Michael's DC pot changes with his retirement age (fewer contributions + less growth). RAF, State and Janey's pensions are unchanged. Edit the ages in row 5.</t>
        </is>
      </c>
    </row>
    <row r="4">
      <c r="A4" s="20" t="inlineStr">
        <is>
          <t>Metric</t>
        </is>
      </c>
      <c r="B4" s="20" t="inlineStr">
        <is>
          <t>Retire at 60</t>
        </is>
      </c>
      <c r="C4" s="20" t="inlineStr">
        <is>
          <t>Retire at 62</t>
        </is>
      </c>
      <c r="D4" s="20" t="inlineStr">
        <is>
          <t>Retire at 65</t>
        </is>
      </c>
    </row>
    <row r="5">
      <c r="A5" s="16" t="inlineStr">
        <is>
          <t>Michael's retirement age</t>
        </is>
      </c>
      <c r="B5" s="28" t="n">
        <v>60</v>
      </c>
      <c r="C5" s="28" t="n">
        <v>62</v>
      </c>
      <c r="D5" s="28" t="n">
        <v>65</v>
      </c>
    </row>
    <row r="6">
      <c r="A6" s="16" t="inlineStr">
        <is>
          <t>Years of contributions</t>
        </is>
      </c>
      <c r="B6" s="16">
        <f>B5-Inputs!B35</f>
        <v>3</v>
      </c>
      <c r="C6" s="16">
        <f>C5-Inputs!B35</f>
        <v>5</v>
      </c>
      <c r="D6" s="16">
        <f>D5-Inputs!B35</f>
        <v>8</v>
      </c>
    </row>
    <row r="7">
      <c r="A7" s="16" t="inlineStr">
        <is>
          <t>Michael's pot at retirement</t>
        </is>
      </c>
      <c r="B7" s="18">
        <f>FV(Inputs!B23,B6,-Inputs!B41,-Inputs!B40,1)</f>
        <v>359817.718964</v>
      </c>
      <c r="C7" s="18">
        <f>FV(Inputs!B23,C6,-Inputs!B41,-Inputs!B40,1)</f>
        <v>462361.886801</v>
      </c>
      <c r="D7" s="18">
        <f>FV(Inputs!B23,D6,-Inputs!B41,-Inputs!B40,1)</f>
        <v>634140.15236</v>
      </c>
    </row>
    <row r="8">
      <c r="A8" s="16" t="inlineStr">
        <is>
          <t>Michael's drawdown (~4%/yr)</t>
        </is>
      </c>
      <c r="B8" s="18">
        <f>B7*Inputs!B26</f>
        <v>14392.708759</v>
      </c>
      <c r="C8" s="18">
        <f>C7*Inputs!B26</f>
        <v>18494.475472</v>
      </c>
      <c r="D8" s="18">
        <f>D7*Inputs!B26</f>
        <v>25365.606094</v>
      </c>
    </row>
    <row r="9">
      <c r="A9" s="16" t="inlineStr">
        <is>
          <t>+ RAF pension</t>
        </is>
      </c>
      <c r="B9" s="17">
        <f>Inputs!B53</f>
        <v>5340</v>
      </c>
      <c r="C9" s="17">
        <f>Inputs!B53</f>
        <v>5340</v>
      </c>
      <c r="D9" s="17">
        <f>Inputs!B53</f>
        <v>5340</v>
      </c>
    </row>
    <row r="10">
      <c r="A10" s="16" t="inlineStr">
        <is>
          <t>+ State Pension</t>
        </is>
      </c>
      <c r="B10" s="17">
        <f>Inputs!B39</f>
        <v>12532</v>
      </c>
      <c r="C10" s="17">
        <f>Inputs!B39</f>
        <v>12532</v>
      </c>
      <c r="D10" s="17">
        <f>Inputs!B39</f>
        <v>12532</v>
      </c>
    </row>
    <row r="11">
      <c r="A11" s="22" t="inlineStr">
        <is>
          <t>Michael's total income /yr</t>
        </is>
      </c>
      <c r="B11" s="29">
        <f>B8+B9+B10</f>
        <v>32264.708759</v>
      </c>
      <c r="C11" s="29">
        <f>C8+C9+C10</f>
        <v>36366.475472</v>
      </c>
      <c r="D11" s="29">
        <f>D8+D9+D10</f>
        <v>43237.606094</v>
      </c>
    </row>
    <row r="12">
      <c r="A12" s="16" t="inlineStr">
        <is>
          <t>Janey's total income /yr</t>
        </is>
      </c>
      <c r="B12" s="17">
        <f>'Household'!B9</f>
        <v>21281.677511</v>
      </c>
      <c r="C12" s="17">
        <f>'Household'!B9</f>
        <v>21281.677511</v>
      </c>
      <c r="D12" s="17">
        <f>'Household'!B9</f>
        <v>21281.677511</v>
      </c>
    </row>
    <row r="13">
      <c r="A13" s="22" t="inlineStr">
        <is>
          <t>Household total /yr</t>
        </is>
      </c>
      <c r="B13" s="23">
        <f>B11+B12</f>
        <v>53546.38627</v>
      </c>
      <c r="C13" s="23">
        <f>C11+C12</f>
        <v>57648.152983</v>
      </c>
      <c r="D13" s="23">
        <f>D11+D12</f>
        <v>64519.283606</v>
      </c>
    </row>
    <row r="14">
      <c r="A14" s="16" t="inlineStr">
        <is>
          <t>≈ per month</t>
        </is>
      </c>
      <c r="B14" s="18">
        <f>B13/12</f>
        <v>4462.198856</v>
      </c>
      <c r="C14" s="18">
        <f>C13/12</f>
        <v>4804.012749</v>
      </c>
      <c r="D14" s="18">
        <f>D13/12</f>
        <v>5376.606967</v>
      </c>
    </row>
    <row r="15">
      <c r="A15" s="16" t="inlineStr">
        <is>
          <t>vs 'Comfortable' (£59,000)</t>
        </is>
      </c>
      <c r="B15" s="25">
        <f>B13-59000</f>
        <v>-5453.61373</v>
      </c>
      <c r="C15" s="25">
        <f>C13-59000</f>
        <v>-1351.847017</v>
      </c>
      <c r="D15" s="25">
        <f>D13-59000</f>
        <v>5519.283606</v>
      </c>
    </row>
    <row r="17">
      <c r="A17" s="2" t="inlineStr">
        <is>
          <t>Notes:</t>
        </is>
      </c>
    </row>
    <row r="18">
      <c r="A18" s="2" t="inlineStr">
        <is>
          <t>• Retiring earlier means fewer years of contributions AND less growth, so a smaller pot and lower drawdown for life.</t>
        </is>
      </c>
    </row>
    <row r="19">
      <c r="A19" s="2" t="inlineStr">
        <is>
          <t>• It also means giving up salary for those years (~£171k/yr) and funding a LONGER retirement — a 30+ year retirement from age 60 may warrant a more cautious ~3.5% withdrawal rate.</t>
        </is>
      </c>
    </row>
    <row r="20">
      <c r="A20" s="2" t="inlineStr">
        <is>
          <t>• RAF pension (from 60), State Pension (from 67) and Janey's pensions are unchanged by Michael's retirement age.</t>
        </is>
      </c>
    </row>
    <row r="21">
      <c r="A21" s="2" t="inlineStr">
        <is>
          <t>• Figures are indicative and in mixed money terms, consistent with the Household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2026-09-19T10:08:03Z</dcterms:created>
  <dcterms:modified xsi:type="dcterms:W3CDTF">2026-09-19T10:08:03Z</dcterms:modified>
</cp:coreProperties>
</file>