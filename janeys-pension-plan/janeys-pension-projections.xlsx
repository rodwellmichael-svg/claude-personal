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Projection" sheetId="2" state="visible" r:id="rId2"/>
    <sheet name="Retirement income" sheetId="3" state="visible" r:id="rId3"/>
    <sheet name="Househol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£#,##0"/>
    <numFmt numFmtId="166" formatCode="£#,##0;(£#,##0)"/>
  </numFmts>
  <fonts count="9">
    <font>
      <name val="Calibri"/>
      <family val="2"/>
      <color theme="1"/>
      <sz val="11"/>
      <scheme val="minor"/>
    </font>
    <font>
      <name val="Arial"/>
      <b val="1"/>
      <color rgb="001F3864"/>
      <sz val="15"/>
    </font>
    <font>
      <name val="Arial"/>
      <i val="1"/>
      <color rgb="00595959"/>
      <sz val="9"/>
    </font>
    <font>
      <name val="Arial"/>
      <b val="1"/>
      <color rgb="001F3864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5" fillId="2" borderId="0" pivotButton="0" quotePrefix="0" xfId="0"/>
    <xf numFmtId="165" fontId="5" fillId="0" borderId="0" pivotButton="0" quotePrefix="0" xfId="0"/>
    <xf numFmtId="165" fontId="4" fillId="0" borderId="0" pivotButton="0" quotePrefix="0" xfId="0"/>
    <xf numFmtId="0" fontId="6" fillId="0" borderId="0" pivotButton="0" quotePrefix="0" xfId="0"/>
    <xf numFmtId="165" fontId="6" fillId="0" borderId="0" pivotButton="0" quotePrefix="0" xfId="0"/>
    <xf numFmtId="165" fontId="5" fillId="2" borderId="0" pivotButton="0" quotePrefix="0" xfId="0"/>
    <xf numFmtId="164" fontId="5" fillId="0" borderId="0" pivotButton="0" quotePrefix="0" xfId="0"/>
    <xf numFmtId="164" fontId="4" fillId="0" borderId="0" pivotButton="0" quotePrefix="0" xfId="0"/>
    <xf numFmtId="164" fontId="5" fillId="2" borderId="0" pivotButton="0" quotePrefix="0" xfId="0"/>
    <xf numFmtId="0" fontId="7" fillId="3" borderId="1" applyAlignment="1" pivotButton="0" quotePrefix="0" xfId="0">
      <alignment horizontal="center" wrapText="1"/>
    </xf>
    <xf numFmtId="0" fontId="4" fillId="0" borderId="1" pivotButton="0" quotePrefix="0" xfId="0"/>
    <xf numFmtId="165" fontId="8" fillId="0" borderId="1" pivotButton="0" quotePrefix="0" xfId="0"/>
    <xf numFmtId="165" fontId="4" fillId="0" borderId="1" pivotButton="0" quotePrefix="0" xfId="0"/>
    <xf numFmtId="165" fontId="6" fillId="2" borderId="0" pivotButton="0" quotePrefix="0" xfId="0"/>
    <xf numFmtId="0" fontId="7" fillId="3" borderId="1" applyAlignment="1" pivotButton="0" quotePrefix="0" xfId="0">
      <alignment horizontal="center"/>
    </xf>
    <xf numFmtId="164" fontId="8" fillId="0" borderId="1" pivotButton="0" quotePrefix="0" xfId="0"/>
    <xf numFmtId="0" fontId="6" fillId="0" borderId="1" pivotButton="0" quotePrefix="0" xfId="0"/>
    <xf numFmtId="165" fontId="6" fillId="2" borderId="1" pivotButton="0" quotePrefix="0" xfId="0"/>
    <xf numFmtId="165" fontId="5" fillId="2" borderId="1" pivotButton="0" quotePrefix="0" xfId="0"/>
    <xf numFmtId="166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60" customWidth="1" min="3" max="3"/>
  </cols>
  <sheetData>
    <row r="1">
      <c r="A1" s="1" t="inlineStr">
        <is>
          <t>Janey's Pension Plan — Inputs &amp; Assumptions</t>
        </is>
      </c>
    </row>
    <row r="2">
      <c r="A2" s="2" t="inlineStr">
        <is>
          <t>Blue = you can edit.  Yellow = confirm the real figure (see notes).  Black = calculated — don't overwrite.</t>
        </is>
      </c>
    </row>
    <row r="4">
      <c r="A4" s="3" t="inlineStr">
        <is>
          <t>Personal details</t>
        </is>
      </c>
    </row>
    <row r="5">
      <c r="A5" s="4" t="inlineStr">
        <is>
          <t>Current age</t>
        </is>
      </c>
      <c r="B5" s="5" t="n">
        <v>53</v>
      </c>
      <c r="C5" s="2" t="inlineStr">
        <is>
          <t>Janey, as at 2026.</t>
        </is>
      </c>
    </row>
    <row r="6">
      <c r="A6" s="4" t="inlineStr">
        <is>
          <t>Target retirement age</t>
        </is>
      </c>
      <c r="B6" s="5" t="n">
        <v>65</v>
      </c>
    </row>
    <row r="7">
      <c r="A7" s="4" t="inlineStr">
        <is>
          <t>State Pension age</t>
        </is>
      </c>
      <c r="B7" s="6" t="n">
        <v>67</v>
      </c>
      <c r="C7" s="2" t="inlineStr">
        <is>
          <t>DOB 05/11/1972 → State Pension age 67, payable from 05/11/2039 (not 65).</t>
        </is>
      </c>
    </row>
    <row r="8">
      <c r="A8" s="4" t="inlineStr">
        <is>
          <t>Years of contributions (to retirement)</t>
        </is>
      </c>
      <c r="B8" s="4">
        <f>B6-B5</f>
        <v>12</v>
      </c>
    </row>
    <row r="9">
      <c r="A9" s="4" t="inlineStr">
        <is>
          <t>Income-bridge years (retire → State Pension)</t>
        </is>
      </c>
      <c r="B9" s="4">
        <f>B7-B6</f>
        <v>2</v>
      </c>
      <c r="C9" s="2" t="inlineStr">
        <is>
          <t>Years living on private pension before the State Pension starts.</t>
        </is>
      </c>
    </row>
    <row r="11">
      <c r="A11" s="3" t="inlineStr">
        <is>
          <t>Contributions (personal pension / SIPP)</t>
        </is>
      </c>
    </row>
    <row r="12">
      <c r="A12" s="4" t="inlineStr">
        <is>
          <t>Net amount Janey pays in per year (£)</t>
        </is>
      </c>
      <c r="B12" s="7" t="n">
        <v>2880</v>
      </c>
      <c r="C12" s="2" t="inlineStr">
        <is>
          <t>Non-earner maximum: £2,880 net/year. Tax relief is added even with no earned income.</t>
        </is>
      </c>
    </row>
    <row r="13">
      <c r="A13" s="4" t="inlineStr">
        <is>
          <t>Basic-rate tax relief added (£)</t>
        </is>
      </c>
      <c r="B13" s="8">
        <f>B12*0.25</f>
        <v>720</v>
      </c>
      <c r="C13" s="2" t="inlineStr">
        <is>
          <t>20% relief = net ÷ 0.8 − net = net × 0.25 → £720 on £2,880.</t>
        </is>
      </c>
    </row>
    <row r="14">
      <c r="A14" s="9" t="inlineStr">
        <is>
          <t>Gross annual contribution (£)</t>
        </is>
      </c>
      <c r="B14" s="10">
        <f>B12+B13</f>
        <v>3600</v>
      </c>
      <c r="C14" s="2" t="inlineStr">
        <is>
          <t>This is what actually lands in the pension each year (£3,600).</t>
        </is>
      </c>
    </row>
    <row r="15">
      <c r="A15" s="4" t="inlineStr">
        <is>
          <t>Existing pension pot value today (£)</t>
        </is>
      </c>
      <c r="B15" s="11" t="n">
        <v>0</v>
      </c>
      <c r="C15" s="2" t="inlineStr">
        <is>
          <t>Unknown — set to £0 for now. NOTE: the 1998–2002 school pension is a separate DEFINED-BENEFIT pension (income, not a pot) — see below.</t>
        </is>
      </c>
    </row>
    <row r="17">
      <c r="A17" s="3" t="inlineStr">
        <is>
          <t>Investment assumptions</t>
        </is>
      </c>
    </row>
    <row r="18">
      <c r="A18" s="4" t="inlineStr">
        <is>
          <t>Growth — cautious</t>
        </is>
      </c>
      <c r="B18" s="12" t="n">
        <v>0.03</v>
      </c>
    </row>
    <row r="19">
      <c r="A19" s="4" t="inlineStr">
        <is>
          <t>Growth — central (medium risk)</t>
        </is>
      </c>
      <c r="B19" s="12" t="n">
        <v>0.05</v>
      </c>
      <c r="C19" s="2" t="inlineStr">
        <is>
          <t>Medium risk appetite → 5% nominal central assumption.</t>
        </is>
      </c>
    </row>
    <row r="20">
      <c r="A20" s="4" t="inlineStr">
        <is>
          <t>Growth — optimistic</t>
        </is>
      </c>
      <c r="B20" s="12" t="n">
        <v>0.07000000000000001</v>
      </c>
    </row>
    <row r="21">
      <c r="A21" s="4" t="inlineStr">
        <is>
          <t>Annual charges (platform + fund)</t>
        </is>
      </c>
      <c r="B21" s="12" t="n">
        <v>0.005</v>
      </c>
      <c r="C21" s="2" t="inlineStr">
        <is>
          <t>Keep this low — 0.5% vs 1.5% makes a big difference. Set to Janey's actual charges.</t>
        </is>
      </c>
    </row>
    <row r="22">
      <c r="A22" s="4" t="inlineStr">
        <is>
          <t>Net growth — cautious</t>
        </is>
      </c>
      <c r="B22" s="13">
        <f>B18-B21</f>
        <v>0.025</v>
      </c>
    </row>
    <row r="23">
      <c r="A23" s="4" t="inlineStr">
        <is>
          <t>Net growth — central</t>
        </is>
      </c>
      <c r="B23" s="13">
        <f>B19-B21</f>
        <v>0.045</v>
      </c>
    </row>
    <row r="24">
      <c r="A24" s="4" t="inlineStr">
        <is>
          <t>Net growth — optimistic</t>
        </is>
      </c>
      <c r="B24" s="13">
        <f>B20-B21</f>
        <v>0.065</v>
      </c>
    </row>
    <row r="25">
      <c r="A25" s="4" t="inlineStr">
        <is>
          <t>Inflation (for today's-money view)</t>
        </is>
      </c>
      <c r="B25" s="12" t="n">
        <v>0.025</v>
      </c>
    </row>
    <row r="26">
      <c r="A26" s="4" t="inlineStr">
        <is>
          <t>Sustainable withdrawal rate</t>
        </is>
      </c>
      <c r="B26" s="12" t="n">
        <v>0.04</v>
      </c>
      <c r="C26" s="2" t="inlineStr">
        <is>
          <t>Rule-of-thumb sustainable drawdown from the pot each year (~4%).</t>
        </is>
      </c>
    </row>
    <row r="28">
      <c r="A28" s="3" t="inlineStr">
        <is>
          <t>Other retirement income (annual, today's money)</t>
        </is>
      </c>
    </row>
    <row r="29">
      <c r="A29" s="4" t="inlineStr">
        <is>
          <t>Full new State Pension per year (£)</t>
        </is>
      </c>
      <c r="B29" s="11" t="n">
        <v>11973</v>
      </c>
      <c r="C29" s="2" t="inlineStr">
        <is>
          <t>2025/26 full rate ≈ £11,973. Verify current figure at gov.uk.</t>
        </is>
      </c>
    </row>
    <row r="30">
      <c r="A30" s="4" t="inlineStr">
        <is>
          <t>% of full State Pension Janey will qualify for</t>
        </is>
      </c>
      <c r="B30" s="14" t="n">
        <v>1</v>
      </c>
      <c r="C30" s="2" t="inlineStr">
        <is>
          <t>UNKNOWN — get a forecast at gov.uk/check-state-pension. As a homemaker there may be NI gaps; filling them is often the best-value action of all.</t>
        </is>
      </c>
    </row>
    <row r="31">
      <c r="A31" s="9" t="inlineStr">
        <is>
          <t>Janey's State Pension per year (£)</t>
        </is>
      </c>
      <c r="B31" s="10">
        <f>B29*B30</f>
        <v>11973</v>
      </c>
    </row>
    <row r="32">
      <c r="A32" s="4" t="inlineStr">
        <is>
          <t>Janey's Teachers' Pension per year (£)</t>
        </is>
      </c>
      <c r="B32" s="7" t="n">
        <v>6981.65</v>
      </c>
      <c r="C32" s="2" t="inlineStr">
        <is>
          <t>Teachers' Pension (deferred, 19 Sep 2026): £6,981.65 from the 80th Final Salary section, payable UNREDUCED from age 60. Index-linked. See the detail block below.</t>
        </is>
      </c>
    </row>
    <row r="34">
      <c r="A34" s="3" t="inlineStr">
        <is>
          <t>Michael (for the household view)</t>
        </is>
      </c>
    </row>
    <row r="35">
      <c r="A35" s="4" t="inlineStr">
        <is>
          <t>Michael's current age</t>
        </is>
      </c>
      <c r="B35" s="6" t="n">
        <v>57</v>
      </c>
      <c r="C35" s="2" t="inlineStr">
        <is>
          <t>DOB 02/07/1969 (confirmed) → age 57 in 2026.</t>
        </is>
      </c>
    </row>
    <row r="36">
      <c r="A36" s="4" t="inlineStr">
        <is>
          <t>Michael's target retirement age</t>
        </is>
      </c>
      <c r="B36" s="6" t="n">
        <v>65</v>
      </c>
      <c r="C36" s="2" t="inlineStr">
        <is>
          <t>Assumed 65 to match Janey — change to Michael's actual plan.</t>
        </is>
      </c>
    </row>
    <row r="37">
      <c r="A37" s="4" t="inlineStr">
        <is>
          <t>Michael's years of contributions (to retirement)</t>
        </is>
      </c>
      <c r="B37" s="4">
        <f>B36-B35</f>
        <v>8</v>
      </c>
    </row>
    <row r="38">
      <c r="A38" s="4" t="inlineStr">
        <is>
          <t>Michael's State Pension per week (£)</t>
        </is>
      </c>
      <c r="B38" s="7" t="n">
        <v>241</v>
      </c>
      <c r="C38" s="2" t="inlineStr">
        <is>
          <t>From Michael's forecast: £241/week starting Nov 2039.</t>
        </is>
      </c>
    </row>
    <row r="39">
      <c r="A39" s="9" t="inlineStr">
        <is>
          <t>Michael's State Pension per year (£)</t>
        </is>
      </c>
      <c r="B39" s="10">
        <f>B38*52</f>
        <v>12532</v>
      </c>
      <c r="C39" s="2" t="inlineStr">
        <is>
          <t>£241 × 52. DOB 02/07/1969 → State Pension age 67, payable from ~02/07/2036 (earlier than the Nov 2039 first assumed). Confirm the amount at gov.uk/check-state-pension.</t>
        </is>
      </c>
    </row>
    <row r="40">
      <c r="A40" s="4" t="inlineStr">
        <is>
          <t>Michael's existing pension pot today (£)</t>
        </is>
      </c>
      <c r="B40" s="7" t="n">
        <v>221974.07</v>
      </c>
      <c r="C40" s="2" t="inlineStr">
        <is>
          <t>Aegon SIPP — £221,974.07 consolidated from Scottish Equitable (transfer authority, Jun 2024). Excludes his newer NEST pot (current employer) — value unknown, add when known.</t>
        </is>
      </c>
    </row>
    <row r="41">
      <c r="A41" s="4" t="inlineStr">
        <is>
          <t>Michael's gross annual contribution (£)</t>
        </is>
      </c>
      <c r="B41" s="7" t="n">
        <v>32490</v>
      </c>
      <c r="C41" s="2" t="inlineStr">
        <is>
          <t>£2,707.50/mo employer pension × 12 (19% of £171k salary; includes his 10% salary sacrifice). If the £1,425/mo sacrifice is ON TOP, use £49,590. Well within the £60k Annual Allowance.</t>
        </is>
      </c>
    </row>
    <row r="42">
      <c r="A42" s="9" t="inlineStr">
        <is>
          <t>Michael's pot at retirement (£)</t>
        </is>
      </c>
      <c r="B42" s="10">
        <f>FV(B23,B37,-B41,-B40,1)</f>
        <v>634140.15236</v>
      </c>
      <c r="C42" s="2" t="inlineStr">
        <is>
          <t>Grown at the central net rate. Uses the shared growth/charge assumptions above.</t>
        </is>
      </c>
    </row>
    <row r="43">
      <c r="A43" s="4" t="inlineStr">
        <is>
          <t>Michael's drawdown income / yr (£)</t>
        </is>
      </c>
      <c r="B43" s="8">
        <f>B42*B26</f>
        <v>25365.606094</v>
      </c>
      <c r="C43" s="2" t="inlineStr">
        <is>
          <t>~4% of his pot per year.</t>
        </is>
      </c>
    </row>
    <row r="45">
      <c r="A45" s="3" t="inlineStr">
        <is>
          <t>Janey's Teachers' Pension — detail (deferred, 19 Sep 2026)</t>
        </is>
      </c>
    </row>
    <row r="46">
      <c r="A46" s="4" t="inlineStr">
        <is>
          <t>80th Final Salary pension — NPA 60 (from Nov 2032)</t>
        </is>
      </c>
      <c r="B46" s="8" t="n">
        <v>6981.65</v>
      </c>
      <c r="C46" s="2" t="inlineStr">
        <is>
          <t>Payable UNREDUCED from age 60. Index-linked.</t>
        </is>
      </c>
    </row>
    <row r="47">
      <c r="A47" s="4" t="inlineStr">
        <is>
          <t>Automatic tax-free lump sum (with the 80th pension)</t>
        </is>
      </c>
      <c r="B47" s="8" t="n">
        <v>20944.98</v>
      </c>
      <c r="C47" s="2" t="inlineStr">
        <is>
          <t>One-off, tax-free, from age 60. 3× the pension.</t>
        </is>
      </c>
    </row>
    <row r="48">
      <c r="A48" s="4" t="inlineStr">
        <is>
          <t>Career Average pension — NPA 67 (from Nov 2039)</t>
        </is>
      </c>
      <c r="B48" s="8" t="n">
        <v>103.48</v>
      </c>
      <c r="C48" s="2" t="inlineStr">
        <is>
          <t>Small; starts at 67.</t>
        </is>
      </c>
    </row>
    <row r="49">
      <c r="A49" s="4" t="inlineStr">
        <is>
          <t>Total annual Teachers' Pension from age 67</t>
        </is>
      </c>
      <c r="B49" s="8" t="n">
        <v>7085.13</v>
      </c>
      <c r="C49" s="2" t="inlineStr">
        <is>
          <t>£6,981.65 + £103.48. Both index-linked.</t>
        </is>
      </c>
    </row>
    <row r="50">
      <c r="A50" s="2" t="inlineStr">
        <is>
          <t>Service: 8 yr 288 days · Avg salary ~£39,723 · figures grow with inflation to retirement.</t>
        </is>
      </c>
    </row>
    <row r="52">
      <c r="A52" s="3" t="inlineStr">
        <is>
          <t>Michael's RAF pension (AFPS 75) — estimate</t>
        </is>
      </c>
    </row>
    <row r="53">
      <c r="A53" s="4" t="inlineStr">
        <is>
          <t>AFPS 75 preserved pension per year (£)</t>
        </is>
      </c>
      <c r="B53" s="11" t="n">
        <v>5340</v>
      </c>
      <c r="C53" s="2" t="inlineStr">
        <is>
          <t>ESTIMATE — RAF 1990–98 (8 yrs), Sgt. ~8/22 of a Sgt's 22-yr pension (~£14,684) ≈ £5,340. Aircrew rates were higher, so likely more. GET AN OFFICIAL FORECAST from Veterans UK / DBS.</t>
        </is>
      </c>
    </row>
    <row r="54">
      <c r="A54" s="4" t="inlineStr">
        <is>
          <t>AFPS 75 tax-free lump sum (£)</t>
        </is>
      </c>
      <c r="B54" s="11" t="n">
        <v>16020</v>
      </c>
      <c r="C54" s="2" t="inlineStr">
        <is>
          <t>≈ 3 × the annual pension, tax-free. Payable with the pension from AGE 60. Index-linked (CPI).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8" customWidth="1" min="3" max="3"/>
    <col width="20" customWidth="1" min="4" max="4"/>
    <col width="16" customWidth="1" min="5" max="5"/>
    <col width="18" customWidth="1" min="6" max="6"/>
  </cols>
  <sheetData>
    <row r="1">
      <c r="A1" s="1" t="inlineStr">
        <is>
          <t>Year-by-year projection — central case (net growth from Inputs)</t>
        </is>
      </c>
    </row>
    <row r="2">
      <c r="A2" s="2" t="inlineStr">
        <is>
          <t>Contributions assumed paid at the start of each year. Change any input on the Inputs tab and this recalculates.</t>
        </is>
      </c>
    </row>
    <row r="4">
      <c r="A4" s="15" t="inlineStr">
        <is>
          <t>Year</t>
        </is>
      </c>
      <c r="B4" s="15" t="inlineStr">
        <is>
          <t>Age</t>
        </is>
      </c>
      <c r="C4" s="15" t="inlineStr">
        <is>
          <t>Opening balance</t>
        </is>
      </c>
      <c r="D4" s="15" t="inlineStr">
        <is>
          <t>Contribution (gross)</t>
        </is>
      </c>
      <c r="E4" s="15" t="inlineStr">
        <is>
          <t>Growth</t>
        </is>
      </c>
      <c r="F4" s="15" t="inlineStr">
        <is>
          <t>Closing balance</t>
        </is>
      </c>
    </row>
    <row r="5">
      <c r="A5" s="16" t="n">
        <v>1</v>
      </c>
      <c r="B5" s="16">
        <f>Inputs!B5+1</f>
        <v>54</v>
      </c>
      <c r="C5" s="17">
        <f>Inputs!B15</f>
        <v>0</v>
      </c>
      <c r="D5" s="17">
        <f>Inputs!B14</f>
        <v>3600</v>
      </c>
      <c r="E5" s="18">
        <f>(C5+D5)*Inputs!B23</f>
        <v>162</v>
      </c>
      <c r="F5" s="18">
        <f>C5+D5+E5</f>
        <v>3762</v>
      </c>
    </row>
    <row r="6">
      <c r="A6" s="16" t="n">
        <v>2</v>
      </c>
      <c r="B6" s="16">
        <f>B5+1</f>
        <v>55</v>
      </c>
      <c r="C6" s="18">
        <f>F5</f>
        <v>3762</v>
      </c>
      <c r="D6" s="17">
        <f>Inputs!B14</f>
        <v>3600</v>
      </c>
      <c r="E6" s="18">
        <f>(C6+D6)*Inputs!B23</f>
        <v>331.29</v>
      </c>
      <c r="F6" s="18">
        <f>C6+D6+E6</f>
        <v>7693.29</v>
      </c>
    </row>
    <row r="7">
      <c r="A7" s="16" t="n">
        <v>3</v>
      </c>
      <c r="B7" s="16">
        <f>B6+1</f>
        <v>56</v>
      </c>
      <c r="C7" s="18">
        <f>F6</f>
        <v>7693.29</v>
      </c>
      <c r="D7" s="17">
        <f>Inputs!B14</f>
        <v>3600</v>
      </c>
      <c r="E7" s="18">
        <f>(C7+D7)*Inputs!B23</f>
        <v>508.19805</v>
      </c>
      <c r="F7" s="18">
        <f>C7+D7+E7</f>
        <v>11801.48805</v>
      </c>
    </row>
    <row r="8">
      <c r="A8" s="16" t="n">
        <v>4</v>
      </c>
      <c r="B8" s="16">
        <f>B7+1</f>
        <v>57</v>
      </c>
      <c r="C8" s="18">
        <f>F7</f>
        <v>11801.48805</v>
      </c>
      <c r="D8" s="17">
        <f>Inputs!B14</f>
        <v>3600</v>
      </c>
      <c r="E8" s="18">
        <f>(C8+D8)*Inputs!B23</f>
        <v>693.066962</v>
      </c>
      <c r="F8" s="18">
        <f>C8+D8+E8</f>
        <v>16094.555012</v>
      </c>
    </row>
    <row r="9">
      <c r="A9" s="16" t="n">
        <v>5</v>
      </c>
      <c r="B9" s="16">
        <f>B8+1</f>
        <v>58</v>
      </c>
      <c r="C9" s="18">
        <f>F8</f>
        <v>16094.555012</v>
      </c>
      <c r="D9" s="17">
        <f>Inputs!B14</f>
        <v>3600</v>
      </c>
      <c r="E9" s="18">
        <f>(C9+D9)*Inputs!B23</f>
        <v>886.254976</v>
      </c>
      <c r="F9" s="18">
        <f>C9+D9+E9</f>
        <v>20580.809988</v>
      </c>
    </row>
    <row r="10">
      <c r="A10" s="16" t="n">
        <v>6</v>
      </c>
      <c r="B10" s="16">
        <f>B9+1</f>
        <v>59</v>
      </c>
      <c r="C10" s="18">
        <f>F9</f>
        <v>20580.809988</v>
      </c>
      <c r="D10" s="17">
        <f>Inputs!B14</f>
        <v>3600</v>
      </c>
      <c r="E10" s="18">
        <f>(C10+D10)*Inputs!B23</f>
        <v>1088.136449</v>
      </c>
      <c r="F10" s="18">
        <f>C10+D10+E10</f>
        <v>25268.946437</v>
      </c>
    </row>
    <row r="11">
      <c r="A11" s="16" t="n">
        <v>7</v>
      </c>
      <c r="B11" s="16">
        <f>B10+1</f>
        <v>60</v>
      </c>
      <c r="C11" s="18">
        <f>F10</f>
        <v>25268.946437</v>
      </c>
      <c r="D11" s="17">
        <f>Inputs!B14</f>
        <v>3600</v>
      </c>
      <c r="E11" s="18">
        <f>(C11+D11)*Inputs!B23</f>
        <v>1299.10259</v>
      </c>
      <c r="F11" s="18">
        <f>C11+D11+E11</f>
        <v>30168.049027</v>
      </c>
    </row>
    <row r="12">
      <c r="A12" s="16" t="n">
        <v>8</v>
      </c>
      <c r="B12" s="16">
        <f>B11+1</f>
        <v>61</v>
      </c>
      <c r="C12" s="18">
        <f>F11</f>
        <v>30168.049027</v>
      </c>
      <c r="D12" s="17">
        <f>Inputs!B14</f>
        <v>3600</v>
      </c>
      <c r="E12" s="18">
        <f>(C12+D12)*Inputs!B23</f>
        <v>1519.562206</v>
      </c>
      <c r="F12" s="18">
        <f>C12+D12+E12</f>
        <v>35287.611233</v>
      </c>
    </row>
    <row r="13">
      <c r="A13" s="16" t="n">
        <v>9</v>
      </c>
      <c r="B13" s="16">
        <f>B12+1</f>
        <v>62</v>
      </c>
      <c r="C13" s="18">
        <f>F12</f>
        <v>35287.611233</v>
      </c>
      <c r="D13" s="17">
        <f>Inputs!B14</f>
        <v>3600</v>
      </c>
      <c r="E13" s="18">
        <f>(C13+D13)*Inputs!B23</f>
        <v>1749.942505</v>
      </c>
      <c r="F13" s="18">
        <f>C13+D13+E13</f>
        <v>40637.553739</v>
      </c>
    </row>
    <row r="14">
      <c r="A14" s="16" t="n">
        <v>10</v>
      </c>
      <c r="B14" s="16">
        <f>B13+1</f>
        <v>63</v>
      </c>
      <c r="C14" s="18">
        <f>F13</f>
        <v>40637.553739</v>
      </c>
      <c r="D14" s="17">
        <f>Inputs!B14</f>
        <v>3600</v>
      </c>
      <c r="E14" s="18">
        <f>(C14+D14)*Inputs!B23</f>
        <v>1990.689918</v>
      </c>
      <c r="F14" s="18">
        <f>C14+D14+E14</f>
        <v>46228.243657</v>
      </c>
    </row>
    <row r="15">
      <c r="A15" s="16" t="n">
        <v>11</v>
      </c>
      <c r="B15" s="16">
        <f>B14+1</f>
        <v>64</v>
      </c>
      <c r="C15" s="18">
        <f>F14</f>
        <v>46228.243657</v>
      </c>
      <c r="D15" s="17">
        <f>Inputs!B14</f>
        <v>3600</v>
      </c>
      <c r="E15" s="18">
        <f>(C15+D15)*Inputs!B23</f>
        <v>2242.270965</v>
      </c>
      <c r="F15" s="18">
        <f>C15+D15+E15</f>
        <v>52070.514621</v>
      </c>
    </row>
    <row r="16">
      <c r="A16" s="16" t="n">
        <v>12</v>
      </c>
      <c r="B16" s="16">
        <f>B15+1</f>
        <v>65</v>
      </c>
      <c r="C16" s="18">
        <f>F15</f>
        <v>52070.514621</v>
      </c>
      <c r="D16" s="17">
        <f>Inputs!B14</f>
        <v>3600</v>
      </c>
      <c r="E16" s="18">
        <f>(C16+D16)*Inputs!B23</f>
        <v>2505.173158</v>
      </c>
      <c r="F16" s="18">
        <f>C16+D16+E16</f>
        <v>58175.687779</v>
      </c>
    </row>
    <row r="18">
      <c r="A18" s="3" t="inlineStr">
        <is>
          <t>Totals</t>
        </is>
      </c>
    </row>
    <row r="19">
      <c r="A19" s="4" t="inlineStr">
        <is>
          <t>Total gross contributed</t>
        </is>
      </c>
      <c r="F19" s="10">
        <f>SUM(D5:D16)</f>
        <v>43200</v>
      </c>
    </row>
    <row r="20">
      <c r="A20" s="4" t="inlineStr">
        <is>
          <t>Total investment growth</t>
        </is>
      </c>
      <c r="F20" s="10">
        <f>SUM(E5:E16)</f>
        <v>14975.687779</v>
      </c>
    </row>
    <row r="21">
      <c r="A21" s="9" t="inlineStr">
        <is>
          <t>Pot at retirement (age 65)</t>
        </is>
      </c>
      <c r="F21" s="19">
        <f>F16</f>
        <v>58175.687779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Retirement income — scenarios &amp; summary</t>
        </is>
      </c>
    </row>
    <row r="2">
      <c r="A2" s="2" t="inlineStr">
        <is>
          <t>Pots use FV of £3,600/yr for 12 years at each net growth rate. Income figures are illustrative, not guaranteed.</t>
        </is>
      </c>
    </row>
    <row r="4">
      <c r="A4" s="3" t="inlineStr">
        <is>
          <t>1) Pot at retirement (age 65)</t>
        </is>
      </c>
    </row>
    <row r="5">
      <c r="A5" s="20" t="inlineStr">
        <is>
          <t>Scenario</t>
        </is>
      </c>
      <c r="B5" s="20" t="inlineStr">
        <is>
          <t>Net growth</t>
        </is>
      </c>
      <c r="C5" s="20" t="inlineStr">
        <is>
          <t>Pot at 65</t>
        </is>
      </c>
    </row>
    <row r="6">
      <c r="A6" s="16" t="inlineStr">
        <is>
          <t>Cautious</t>
        </is>
      </c>
      <c r="B6" s="21">
        <f>Inputs!B22</f>
        <v>0.025</v>
      </c>
      <c r="C6" s="18">
        <f>FV(Inputs!B22,Inputs!B8,-Inputs!B14,-Inputs!B15,1)</f>
        <v>50905.590459</v>
      </c>
    </row>
    <row r="7">
      <c r="A7" s="16" t="inlineStr">
        <is>
          <t>Central</t>
        </is>
      </c>
      <c r="B7" s="21">
        <f>Inputs!B23</f>
        <v>0.045</v>
      </c>
      <c r="C7" s="18">
        <f>FV(Inputs!B23,Inputs!B8,-Inputs!B14,-Inputs!B15,1)</f>
        <v>58175.687779</v>
      </c>
    </row>
    <row r="8">
      <c r="A8" s="16" t="inlineStr">
        <is>
          <t>Optimistic</t>
        </is>
      </c>
      <c r="B8" s="21">
        <f>Inputs!B24</f>
        <v>0.065</v>
      </c>
      <c r="C8" s="18">
        <f>FV(Inputs!B24,Inputs!B8,-Inputs!B14,-Inputs!B15,1)</f>
        <v>66599.30754</v>
      </c>
    </row>
    <row r="10">
      <c r="A10" s="3" t="inlineStr">
        <is>
          <t>2) Turning the CENTRAL pot into income</t>
        </is>
      </c>
    </row>
    <row r="12">
      <c r="A12" s="4" t="inlineStr">
        <is>
          <t>Central pot at 65</t>
        </is>
      </c>
      <c r="B12" s="10">
        <f>C7</f>
        <v>58175.687779</v>
      </c>
    </row>
    <row r="13">
      <c r="A13" s="4" t="inlineStr">
        <is>
          <t>Tax-free cash (25%)</t>
        </is>
      </c>
      <c r="B13" s="8">
        <f>B12*0.25</f>
        <v>14543.921945</v>
      </c>
      <c r="C13" s="2" t="inlineStr">
        <is>
          <t>Available from age 65.</t>
        </is>
      </c>
    </row>
    <row r="14">
      <c r="A14" s="4" t="inlineStr">
        <is>
          <t>Sustainable drawdown income / yr</t>
        </is>
      </c>
      <c r="B14" s="8">
        <f>B12*Inputs!B26</f>
        <v>2327.027511</v>
      </c>
      <c r="C14" s="2" t="inlineStr">
        <is>
          <t>~4% of the pot per year (illustrative, not guaranteed).</t>
        </is>
      </c>
    </row>
    <row r="15">
      <c r="A15" s="4" t="inlineStr">
        <is>
          <t>Annuity income / yr (rough)</t>
        </is>
      </c>
      <c r="B15" s="8">
        <f>B12*0.06</f>
        <v>3490.541267</v>
      </c>
      <c r="C15" s="2" t="inlineStr">
        <is>
          <t>Very rough at ~6% single-life level rate; real quotes vary with age/health/rates.</t>
        </is>
      </c>
    </row>
    <row r="17">
      <c r="A17" s="3" t="inlineStr">
        <is>
          <t>3) Total annual income (using drawdown + DB + State Pension)</t>
        </is>
      </c>
    </row>
    <row r="18">
      <c r="A18" s="15" t="inlineStr">
        <is>
          <t>Component</t>
        </is>
      </c>
      <c r="B18" s="15" t="inlineStr">
        <is>
          <t>Age 65–66 (bridge)</t>
        </is>
      </c>
      <c r="C18" s="15" t="inlineStr">
        <is>
          <t>Age 67+ (with SP)</t>
        </is>
      </c>
    </row>
    <row r="19">
      <c r="A19" s="16" t="inlineStr">
        <is>
          <t>Private pension (drawdown)</t>
        </is>
      </c>
      <c r="B19" s="18">
        <f>B14</f>
        <v>2327.027511</v>
      </c>
      <c r="C19" s="18">
        <f>B14</f>
        <v>2327.027511</v>
      </c>
    </row>
    <row r="20">
      <c r="A20" s="16" t="inlineStr">
        <is>
          <t>Deferred DB (school) pension</t>
        </is>
      </c>
      <c r="B20" s="17">
        <f>Inputs!B32</f>
        <v>6981.65</v>
      </c>
      <c r="C20" s="17">
        <f>Inputs!B32</f>
        <v>6981.65</v>
      </c>
    </row>
    <row r="21">
      <c r="A21" s="16" t="inlineStr">
        <is>
          <t>State Pension</t>
        </is>
      </c>
      <c r="B21" s="18" t="n">
        <v>0</v>
      </c>
      <c r="C21" s="17">
        <f>Inputs!B31</f>
        <v>11973</v>
      </c>
    </row>
    <row r="22">
      <c r="A22" s="22" t="inlineStr">
        <is>
          <t>Total annual income</t>
        </is>
      </c>
      <c r="B22" s="23">
        <f>SUM(B19:B21)</f>
        <v>9308.677511</v>
      </c>
      <c r="C22" s="23">
        <f>SUM(C19:C21)</f>
        <v>21281.677511</v>
      </c>
    </row>
    <row r="24">
      <c r="A24" s="2" t="inlineStr">
        <is>
          <t>Note: pot figures are in FUTURE money. In today's money, divide by (1+inflation)^12 ≈ divide by 1.34 at 2.5% inflation. State Pension &amp; DB above are already in today's money.</t>
        </is>
      </c>
    </row>
    <row r="26">
      <c r="A26" s="3" t="inlineStr">
        <is>
          <t>Highest-leverage actions (not just the £3,600/yr):</t>
        </is>
      </c>
    </row>
    <row r="27">
      <c r="A27" s="4" t="inlineStr">
        <is>
          <t>1. Get Janey's State Pension forecast (gov.uk/check-state-pension) — fill NI gaps if any.</t>
        </is>
      </c>
    </row>
    <row r="28">
      <c r="A28" s="4" t="inlineStr">
        <is>
          <t>2. Teachers' Pension is confirmed: £6,982/yr + £20,945 tax-free lump sum from AGE 60 — this covers the pre-State-Pension years well.</t>
        </is>
      </c>
    </row>
    <row r="29">
      <c r="A29" s="4" t="inlineStr">
        <is>
          <t>3. Decide when to take the Teachers' 80th pension (age 60 unreduced) vs. the personal pot vs. State Pension at 67.</t>
        </is>
      </c>
    </row>
    <row r="30">
      <c r="A30" s="4" t="inlineStr">
        <is>
          <t>4. Consider whether Michael can contribute more, or use ISAs, for the household.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Household retirement income — Janey + Michael</t>
        </is>
      </c>
    </row>
    <row r="2">
      <c r="A2" s="2" t="inlineStr">
        <is>
          <t>Steady state: both retired and both State Pensions in payment (from ~2039–2040). Fill Michael's pot &amp; contributions on the Inputs tab to complete his private pension.</t>
        </is>
      </c>
    </row>
    <row r="4">
      <c r="A4" s="3" t="inlineStr">
        <is>
          <t>Annual income (steady state)</t>
        </is>
      </c>
    </row>
    <row r="5">
      <c r="A5" s="20" t="inlineStr">
        <is>
          <t>Component</t>
        </is>
      </c>
      <c r="B5" s="20" t="inlineStr">
        <is>
          <t>Janey</t>
        </is>
      </c>
      <c r="C5" s="20" t="inlineStr">
        <is>
          <t>Michael</t>
        </is>
      </c>
      <c r="D5" s="20" t="inlineStr">
        <is>
          <t>Household</t>
        </is>
      </c>
    </row>
    <row r="6">
      <c r="A6" s="16" t="inlineStr">
        <is>
          <t>Private pension (drawdown ~4%)</t>
        </is>
      </c>
      <c r="B6" s="17">
        <f>'Retirement income'!B14</f>
        <v>2327.027511</v>
      </c>
      <c r="C6" s="17">
        <f>Inputs!B43</f>
        <v>25365.606094</v>
      </c>
      <c r="D6" s="18">
        <f>B6+C6</f>
        <v>27692.633606</v>
      </c>
    </row>
    <row r="7">
      <c r="A7" s="16" t="inlineStr">
        <is>
          <t>DB / service pension (Teachers' · RAF)</t>
        </is>
      </c>
      <c r="B7" s="17">
        <f>Inputs!B32</f>
        <v>6981.65</v>
      </c>
      <c r="C7" s="17">
        <f>Inputs!B53</f>
        <v>5340</v>
      </c>
      <c r="D7" s="18">
        <f>B7+C7</f>
        <v>12321.65</v>
      </c>
    </row>
    <row r="8">
      <c r="A8" s="16" t="inlineStr">
        <is>
          <t>State Pension</t>
        </is>
      </c>
      <c r="B8" s="17">
        <f>Inputs!B31</f>
        <v>11973</v>
      </c>
      <c r="C8" s="17">
        <f>Inputs!B39</f>
        <v>12532</v>
      </c>
      <c r="D8" s="18">
        <f>B8+C8</f>
        <v>24505</v>
      </c>
    </row>
    <row r="9">
      <c r="A9" s="22" t="inlineStr">
        <is>
          <t>Total annual income</t>
        </is>
      </c>
      <c r="B9" s="23">
        <f>SUM(B6:B8)</f>
        <v>21281.677511</v>
      </c>
      <c r="C9" s="23">
        <f>SUM(C6:C8)</f>
        <v>43237.606094</v>
      </c>
      <c r="D9" s="23">
        <f>SUM(D6:D8)</f>
        <v>64519.283606</v>
      </c>
    </row>
    <row r="10">
      <c r="A10" s="4" t="inlineStr">
        <is>
          <t>≈ per month</t>
        </is>
      </c>
      <c r="D10" s="8">
        <f>D9/12</f>
        <v>5376.606967</v>
      </c>
    </row>
    <row r="12">
      <c r="A12" s="3" t="inlineStr">
        <is>
          <t>Against PLSA couple benchmarks (today's money)</t>
        </is>
      </c>
    </row>
    <row r="13">
      <c r="A13" s="15" t="inlineStr">
        <is>
          <t>Standard</t>
        </is>
      </c>
      <c r="B13" s="15" t="inlineStr">
        <is>
          <t>Couple / yr</t>
        </is>
      </c>
      <c r="C13" s="15" t="inlineStr">
        <is>
          <t>Household vs benchmark</t>
        </is>
      </c>
    </row>
    <row r="14">
      <c r="A14" s="16" t="inlineStr">
        <is>
          <t>Minimum</t>
        </is>
      </c>
      <c r="B14" s="24" t="n">
        <v>22400</v>
      </c>
      <c r="C14" s="25">
        <f>D9-B14</f>
        <v>42119.283606</v>
      </c>
    </row>
    <row r="15">
      <c r="A15" s="16" t="inlineStr">
        <is>
          <t>Moderate</t>
        </is>
      </c>
      <c r="B15" s="24" t="n">
        <v>43100</v>
      </c>
      <c r="C15" s="25">
        <f>D9-B15</f>
        <v>21419.283606</v>
      </c>
    </row>
    <row r="16">
      <c r="A16" s="16" t="inlineStr">
        <is>
          <t>Comfortable</t>
        </is>
      </c>
      <c r="B16" s="24" t="n">
        <v>59000</v>
      </c>
      <c r="C16" s="25">
        <f>D9-B16</f>
        <v>5519.283606</v>
      </c>
    </row>
    <row r="17">
      <c r="A17" s="2" t="inlineStr">
        <is>
          <t>PLSA couple figures are illustrative — verify current values at retirementlivingstandards.org.uk.</t>
        </is>
      </c>
    </row>
    <row r="19">
      <c r="A19" s="3" t="inlineStr">
        <is>
          <t>Notes</t>
        </is>
      </c>
    </row>
    <row r="20">
      <c r="A20" s="2" t="inlineStr">
        <is>
          <t>• Private-pension (drawdown) figures are in FUTURE money; State Pension &amp; DB are in today's money — treat the total as indicative.</t>
        </is>
      </c>
    </row>
    <row r="21">
      <c r="A21" s="2" t="inlineStr">
        <is>
          <t>• Timing: Michael's State Pension starts Nov 2039; Janey's at age 67 (~2040). Each has a short gap between retiring at 65 and their State Pension starting — plan those bridge years.</t>
        </is>
      </c>
    </row>
    <row r="22">
      <c r="A22" s="2" t="inlineStr">
        <is>
          <t>• Michael's private pension shows £0 until his pot and contributions are entered on the Inputs tab (cells B41, B42).</t>
        </is>
      </c>
    </row>
    <row r="23">
      <c r="A23" s="2" t="inlineStr">
        <is>
          <t>• The £500k mortgage-free home is a household asset, not counted as income here — it can support later-life options (e.g. downsizing).</t>
        </is>
      </c>
    </row>
    <row r="24">
      <c r="A24" s="2" t="inlineStr">
        <is>
          <t>• This is planning material, not regulated financial advice.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2026-09-19T09:47:33Z</dcterms:created>
  <dcterms:modified xsi:type="dcterms:W3CDTF">2026-09-19T09:47:33Z</dcterms:modified>
</cp:coreProperties>
</file>